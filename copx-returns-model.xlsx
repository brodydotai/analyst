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ot Price Scenarios" sheetId="1" state="visible" r:id="rId3"/>
    <sheet name="Amplification Model" sheetId="2" state="visible" r:id="rId4"/>
    <sheet name="COPX Returns" sheetId="3" state="visible" r:id="rId5"/>
    <sheet name="Position Sizing" sheetId="4" state="visible" r:id="rId6"/>
    <sheet name="Scenario Summary" sheetId="5" state="visible" r:id="rId7"/>
    <sheet name="Sensitiv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<sst xmlns="http://schemas.openxmlformats.org/spreadsheetml/2006/main" count="289" uniqueCount="183">
  <si>
    <t xml:space="preserve">COPX Returns Model — Copper Spot Price Scenarios</t>
  </si>
  <si>
    <t xml:space="preserve">CURRENT MARKET DATA</t>
  </si>
  <si>
    <t xml:space="preserve">Metric</t>
  </si>
  <si>
    <t xml:space="preserve">Value</t>
  </si>
  <si>
    <t xml:space="preserve">Format</t>
  </si>
  <si>
    <t xml:space="preserve">Source</t>
  </si>
  <si>
    <t xml:space="preserve">Copper Spot ($/lb)</t>
  </si>
  <si>
    <t xml:space="preserve">$#,##0.00</t>
  </si>
  <si>
    <t xml:space="preserve">Source: COMEX, Mar 2026</t>
  </si>
  <si>
    <t xml:space="preserve">Copper Spot ($/mt)</t>
  </si>
  <si>
    <t xml:space="preserve"> $#,##0</t>
  </si>
  <si>
    <t xml:space="preserve">Calculated: Spot/lb * 2204.62</t>
  </si>
  <si>
    <t xml:space="preserve">COPX Price</t>
  </si>
  <si>
    <t xml:space="preserve">Source: NYSE, Mar 1 2026</t>
  </si>
  <si>
    <t xml:space="preserve">COPX 52-Week Low</t>
  </si>
  <si>
    <t xml:space="preserve">Source: Yahoo Finance</t>
  </si>
  <si>
    <t xml:space="preserve">COPX 52-Week High</t>
  </si>
  <si>
    <t xml:space="preserve">COPX 1-Year Return</t>
  </si>
  <si>
    <t xml:space="preserve">0.0%</t>
  </si>
  <si>
    <t xml:space="preserve">Source: ETFdb.com</t>
  </si>
  <si>
    <t xml:space="preserve">COPX YTD Return</t>
  </si>
  <si>
    <t xml:space="preserve">COPX AUM ($B)</t>
  </si>
  <si>
    <t xml:space="preserve">$#,##0.00"B"</t>
  </si>
  <si>
    <t xml:space="preserve">Source: Global X</t>
  </si>
  <si>
    <t xml:space="preserve">Copper ATH ($/lb)</t>
  </si>
  <si>
    <t xml:space="preserve">Source: COMEX, Jan 29 2026</t>
  </si>
  <si>
    <t xml:space="preserve">GS 2026E Avg ($/mt)</t>
  </si>
  <si>
    <t xml:space="preserve">$#,##0</t>
  </si>
  <si>
    <t xml:space="preserve">Source: Goldman Sachs, Feb 2026</t>
  </si>
  <si>
    <t xml:space="preserve">GS 2026E Year-End ($/mt)</t>
  </si>
  <si>
    <t xml:space="preserve">GS 2027E Avg ($/mt)</t>
  </si>
  <si>
    <t xml:space="preserve">COPPER SPOT PRICE SCENARIOS</t>
  </si>
  <si>
    <t xml:space="preserve">Scenario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</si>
  <si>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</si>
  <si>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</si>
  <si>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</si>
  <si>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</si>
  <si>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</si>
  <si>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</si>
  <si>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</si>
  <si>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</si>
  <si>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</si>
  <si>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</si>
  <si>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</si>
  <si>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</si>
  <si>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</si>
  <si>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Bull ($/lb)</t>
  </si>
  <si>
    <t xml:space="preserve">Base ($/lb)</t>
  </si>
  <si>
    <t xml:space="preserve">Bear ($/lb)</t>
  </si>
  <si>
    <t xml:space="preserve">% CHANGE FROM CURRENT SPOT</t>
  </si>
  <si>
    <t xml:space="preserve">Bull (% chg)</t>
  </si>
  <si>
    <t xml:space="preserve">Base (% chg)</t>
  </si>
  <si>
    <t xml:space="preserve">Bear (% chg)</t>
  </si>
  <si>
    <t xml:space="preserve">COPX Amplification Model — Spot to Miner Returns</t>
  </si>
  <si>
    <t xml:space="preserve">AMPLIFICATION ASSUMPTIONS</t>
  </si>
  <si>
    <t xml:space="preserve">Phase</t>
  </si>
  <si>
    <t xml:space="preserve">Period</t>
  </si>
  <si>
    <t xml:space="preserve">Amplification (x)</t>
  </si>
  <si>
    <t xml:space="preserve">Description</t>
  </si>
  <si>
    <t xml:space="preserve">Historical Basis</t>
  </si>
  <si>
    <t xml:space="preserve">Phase 2 (Now)</t>
  </si>
  <si>
    <t xml:space="preserve">Conviction — institutional rotation</t>
  </si>
  <si>
    <t xml:space="preserve">COPX vs HG1! trailing 12mo</t>
  </si>
  <si>
    <t xml:space="preserve">Phase 3 Early</t>
  </si>
  <si>
    <t xml:space="preserve">Apr-Jun 26</t>
  </si>
  <si>
    <t xml:space="preserve">Acceleration — generalist inflows</t>
  </si>
  <si>
    <t xml:space="preserve">Prior cycle Q2-Q3 2021 analog</t>
  </si>
  <si>
    <t xml:space="preserve">Phase 3 Mid</t>
  </si>
  <si>
    <t xml:space="preserve">Jul-Sep 26</t>
  </si>
  <si>
    <t xml:space="preserve">Euphoria — analyst upgrades cascade</t>
  </si>
  <si>
    <t xml:space="preserve">Prior cycle Q4 2021 analog</t>
  </si>
  <si>
    <t xml:space="preserve">Phase 3 Peak</t>
  </si>
  <si>
    <t xml:space="preserve">Peak amplification before rollover</t>
  </si>
  <si>
    <t xml:space="preserve">Prior cycle Jan 2022 peak</t>
  </si>
  <si>
    <t xml:space="preserve">Phase 4 Early</t>
  </si>
  <si>
    <t xml:space="preserve">Oct-Dec 26</t>
  </si>
  <si>
    <t xml:space="preserve">De-rating begins, profit taking</t>
  </si>
  <si>
    <t xml:space="preserve">Prior cycle Q1-Q2 2022</t>
  </si>
  <si>
    <t xml:space="preserve">Phase 4 Late</t>
  </si>
  <si>
    <t xml:space="preserve">Jan-Mar 27</t>
  </si>
  <si>
    <t xml:space="preserve">Compression back toward parity</t>
  </si>
  <si>
    <t xml:space="preserve">Prior cycle H2 2022</t>
  </si>
  <si>
    <t xml:space="preserve">MONTHLY AMPLIFICATION SCHEDULE</t>
  </si>
  <si>
    <t xml:space="preserve">Month</t>
  </si>
  <si>
    <t xml:space="preserve">Cycle Phase</t>
  </si>
  <si>
    <t xml:space="preserve">P2</t>
  </si>
  <si>
    <t xml:space="preserve">P2→3</t>
  </si>
  <si>
    <t xml:space="preserve">P3</t>
  </si>
  <si>
    <t xml:space="preserve">P3 Peak</t>
  </si>
  <si>
    <t xml:space="preserve">P4</t>
  </si>
  <si>
    <t xml:space="preserve">COPX Projected Returns — 3 Scenarios x Amplification</t>
  </si>
  <si>
    <t xml:space="preserve">COPX Entry Price:</t>
  </si>
  <si>
    <t xml:space="preserve">BULL SCENARIO</t>
  </si>
  <si>
    <t xml:space="preserve">Cu Spot ($/lb)</t>
  </si>
  <si>
    <t xml:space="preserve">Spot % Chg</t>
  </si>
  <si>
    <t xml:space="preserve">COPX Implied Return</t>
  </si>
  <si>
    <t xml:space="preserve">$ P&amp;L / Share</t>
  </si>
  <si>
    <t xml:space="preserve">BASE SCENARIO</t>
  </si>
  <si>
    <t xml:space="preserve">BEAR SCENARIO</t>
  </si>
  <si>
    <t xml:space="preserve">COPX Position Sizing &amp; Risk Management</t>
  </si>
  <si>
    <t xml:space="preserve">PORTFOLIO ASSUMPTIONS</t>
  </si>
  <si>
    <t xml:space="preserve">Parameter</t>
  </si>
  <si>
    <t xml:space="preserve">Notes</t>
  </si>
  <si>
    <t xml:space="preserve">Portfolio Size</t>
  </si>
  <si>
    <t xml:space="preserve">Total investable capital</t>
  </si>
  <si>
    <t xml:space="preserve">Max Position Size (%)</t>
  </si>
  <si>
    <t xml:space="preserve">Single position risk limit</t>
  </si>
  <si>
    <t xml:space="preserve">COPX Entry Price</t>
  </si>
  <si>
    <t xml:space="preserve">Current market price</t>
  </si>
  <si>
    <t xml:space="preserve">Stop Loss (%)</t>
  </si>
  <si>
    <t xml:space="preserve">Max acceptable loss from entry</t>
  </si>
  <si>
    <t xml:space="preserve">Target Exit — Phase 3 Peak</t>
  </si>
  <si>
    <t xml:space="preserve">COPX Returns Bull scenario Sep-26</t>
  </si>
  <si>
    <t xml:space="preserve">Risk-Free Rate</t>
  </si>
  <si>
    <t xml:space="preserve">T-bill proxy</t>
  </si>
  <si>
    <t xml:space="preserve">CALCULATED POSITION METRICS</t>
  </si>
  <si>
    <t xml:space="preserve">Formula</t>
  </si>
  <si>
    <t xml:space="preserve">Position $ Size</t>
  </si>
  <si>
    <t xml:space="preserve"> =Portfolio * Max %</t>
  </si>
  <si>
    <t xml:space="preserve">Shares</t>
  </si>
  <si>
    <t xml:space="preserve"> =Position / Entry Price</t>
  </si>
  <si>
    <t xml:space="preserve">Stop Loss Price</t>
  </si>
  <si>
    <t xml:space="preserve"> =Entry * (1 + Stop %)</t>
  </si>
  <si>
    <t xml:space="preserve">$ Risk per Share</t>
  </si>
  <si>
    <t xml:space="preserve"> =Entry - Stop Price</t>
  </si>
  <si>
    <t xml:space="preserve">Total $ Risk</t>
  </si>
  <si>
    <t xml:space="preserve"> =Shares * $ Risk/Share</t>
  </si>
  <si>
    <t xml:space="preserve">Target Price (Bull Peak)</t>
  </si>
  <si>
    <t xml:space="preserve"> =Linked from Returns</t>
  </si>
  <si>
    <t xml:space="preserve">$ Upside per Share</t>
  </si>
  <si>
    <t xml:space="preserve"> =Target - Entry</t>
  </si>
  <si>
    <t xml:space="preserve">Total $ Upside</t>
  </si>
  <si>
    <t xml:space="preserve"> =Shares * Upside/Share</t>
  </si>
  <si>
    <t xml:space="preserve">Risk/Reward Ratio</t>
  </si>
  <si>
    <t xml:space="preserve"> =Upside / Risk</t>
  </si>
  <si>
    <t xml:space="preserve">Breakeven Spot Move</t>
  </si>
  <si>
    <t xml:space="preserve"> =1/Amplification at entry</t>
  </si>
  <si>
    <t xml:space="preserve">Max Drawdown $ at Stop</t>
  </si>
  <si>
    <t xml:space="preserve"> =Total Risk</t>
  </si>
  <si>
    <t xml:space="preserve">COPX Return Summary — Key Timeframes</t>
  </si>
  <si>
    <t xml:space="preserve">RETURN MATRIX: Scenario x Timeframe</t>
  </si>
  <si>
    <t xml:space="preserve">Entry:</t>
  </si>
  <si>
    <t xml:space="preserve">3-Month
(Jun-26)</t>
  </si>
  <si>
    <t xml:space="preserve">6-Month
(Sep-26)</t>
  </si>
  <si>
    <t xml:space="preserve">9-Month
(Dec-26)</t>
  </si>
  <si>
    <t xml:space="preserve">12-Month
(Mar-27)</t>
  </si>
  <si>
    <t xml:space="preserve">Peak COPX Price</t>
  </si>
  <si>
    <t xml:space="preserve">Peak Return</t>
  </si>
  <si>
    <t xml:space="preserve">BULL</t>
  </si>
  <si>
    <t xml:space="preserve">BASE</t>
  </si>
  <si>
    <t xml:space="preserve">BEAR</t>
  </si>
  <si>
    <t xml:space="preserve">KEY DECISION FRAMEWORK</t>
  </si>
  <si>
    <t xml:space="preserve">Signal</t>
  </si>
  <si>
    <t xml:space="preserve">Trigger</t>
  </si>
  <si>
    <t xml:space="preserve">Action</t>
  </si>
  <si>
    <t xml:space="preserve">COPX Target</t>
  </si>
  <si>
    <t xml:space="preserve">Section 232 Decision</t>
  </si>
  <si>
    <t xml:space="preserve">Cu tariff enacted (Jun 30)</t>
  </si>
  <si>
    <t xml:space="preserve">Add to position</t>
  </si>
  <si>
    <t xml:space="preserve">Phase 3 Confirmation</t>
  </si>
  <si>
    <t xml:space="preserve">COPX amplification &gt; 3.5x</t>
  </si>
  <si>
    <t xml:space="preserve">Hold / trail stop</t>
  </si>
  <si>
    <t xml:space="preserve">Phase 3 Peak Signal</t>
  </si>
  <si>
    <t xml:space="preserve">Amplification hits 4.5x</t>
  </si>
  <si>
    <t xml:space="preserve">Begin scaling out</t>
  </si>
  <si>
    <t xml:space="preserve">Phase 4 Trigger</t>
  </si>
  <si>
    <t xml:space="preserve">Amplification rolls &lt; 3.0x</t>
  </si>
  <si>
    <t xml:space="preserve">Exit remaining</t>
  </si>
  <si>
    <t xml:space="preserve">Bear Stop</t>
  </si>
  <si>
    <t xml:space="preserve">Spot &lt; $5.20/lb sustained</t>
  </si>
  <si>
    <t xml:space="preserve">Full exit</t>
  </si>
  <si>
    <t xml:space="preserve">COPX Price Sensitivity — Spot Price x Amplification</t>
  </si>
  <si>
    <t xml:space="preserve">COPX PRICE MATRIX</t>
  </si>
  <si>
    <t xml:space="preserve">Entry: $95.70</t>
  </si>
  <si>
    <t xml:space="preserve">1.5x</t>
  </si>
  <si>
    <t xml:space="preserve">2.0x</t>
  </si>
  <si>
    <t xml:space="preserve">2.5x</t>
  </si>
  <si>
    <t xml:space="preserve">2.8x</t>
  </si>
  <si>
    <t xml:space="preserve">3.2x</t>
  </si>
  <si>
    <t xml:space="preserve">3.8x</t>
  </si>
  <si>
    <t xml:space="preserve">4.5x</t>
  </si>
  <si>
    <t xml:space="preserve">5.0x</t>
  </si>
  <si>
    <t xml:space="preserve">COPX RETURN % MATRIX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</si>
</sst>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"/>
    <numFmt numFmtId="166" formatCode="\$#,##0"/>
    <numFmt numFmtId="167" formatCode="@"/>
    <numFmt numFmtId="168" formatCode="0.0%"/>
    <numFmt numFmtId="169" formatCode="\$#,##0.00\B"/>
    <numFmt numFmtId="170" formatCode="0.0\x"/>
    <numFmt numFmtId="171" formatCode="\$#,##0.00;&quot;($&quot;#,##0.00\);\-"/>
    <numFmt numFmtId="172" formatCode="#,##0"/>
    <numFmt numFmtId="173" formatCode="0.0%;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sz val="9"/>
      <color rgb="FF99999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E8F5E9"/>
        <bgColor rgb="FFFFF3E0"/>
      </patternFill>
    </fill>
    <fill>
      <patternFill patternType="solid">
        <fgColor rgb="FFFFF3E0"/>
        <bgColor rgb="FFE8F5E9"/>
      </patternFill>
    </fill>
    <fill>
      <patternFill patternType="solid">
        <fgColor rgb="FFF3E5F5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008080"/>
      <rgbColor rgb="FFC0C0C0"/>
      <rgbColor rgb="FF808080"/>
      <rgbColor rgb="FF9999FF"/>
      <rgbColor rgb="FFE53935"/>
      <rgbColor rgb="FFFFF3E0"/>
      <rgbColor rgb="FFE8F5E9"/>
      <rgbColor rgb="FF660066"/>
      <rgbColor rgb="FFFF8080"/>
      <rgbColor rgb="FF0277BD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E65100"/>
      <rgbColor rgb="FF666699"/>
      <rgbColor rgb="FF999999"/>
      <rgbColor rgb="FF003366"/>
      <rgbColor rgb="FF43A047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N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14" min="2" style="1" width="11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n">
        <v>5.9</v>
      </c>
      <c r="C5" s="5" t="s">
        <v>7</v>
      </c>
      <c r="D5" s="5" t="s">
        <v>8</v>
      </c>
    </row>
    <row r="6" customFormat="false" ht="15" hidden="false" customHeight="true" outlineLevel="0" collapsed="false">
      <c r="A6" s="5" t="s">
        <v>9</v>
      </c>
      <c r="B6" s="7" t="n">
        <f aca="false">B5*2204.62</f>
        <v>13007.258</v>
      </c>
      <c r="C6" s="8" t="s">
        <v>10</v>
      </c>
      <c r="D6" s="8" t="s">
        <v>11</v>
      </c>
    </row>
    <row r="7" customFormat="false" ht="15" hidden="false" customHeight="true" outlineLevel="0" collapsed="false">
      <c r="A7" s="5" t="s">
        <v>12</v>
      </c>
      <c r="B7" s="6" t="n">
        <v>95.7</v>
      </c>
      <c r="C7" s="5" t="s">
        <v>7</v>
      </c>
      <c r="D7" s="5" t="s">
        <v>13</v>
      </c>
    </row>
    <row r="8" customFormat="false" ht="15" hidden="false" customHeight="true" outlineLevel="0" collapsed="false">
      <c r="A8" s="5" t="s">
        <v>14</v>
      </c>
      <c r="B8" s="6" t="n">
        <v>30.77</v>
      </c>
      <c r="C8" s="5" t="s">
        <v>7</v>
      </c>
      <c r="D8" s="5" t="s">
        <v>15</v>
      </c>
    </row>
    <row r="9" customFormat="false" ht="15" hidden="false" customHeight="true" outlineLevel="0" collapsed="false">
      <c r="A9" s="5" t="s">
        <v>16</v>
      </c>
      <c r="B9" s="6" t="n">
        <v>95.7</v>
      </c>
      <c r="C9" s="5" t="s">
        <v>7</v>
      </c>
      <c r="D9" s="5" t="s">
        <v>15</v>
      </c>
    </row>
    <row r="10" customFormat="false" ht="15" hidden="false" customHeight="true" outlineLevel="0" collapsed="false">
      <c r="A10" s="5" t="s">
        <v>17</v>
      </c>
      <c r="B10" s="9" t="n">
        <v>1.3168</v>
      </c>
      <c r="C10" s="5" t="s">
        <v>18</v>
      </c>
      <c r="D10" s="5" t="s">
        <v>19</v>
      </c>
    </row>
    <row r="11" customFormat="false" ht="15" hidden="false" customHeight="true" outlineLevel="0" collapsed="false">
      <c r="A11" s="5" t="s">
        <v>20</v>
      </c>
      <c r="B11" s="9" t="n">
        <v>0.9344</v>
      </c>
      <c r="C11" s="5" t="s">
        <v>18</v>
      </c>
      <c r="D11" s="5" t="s">
        <v>19</v>
      </c>
    </row>
    <row r="12" customFormat="false" ht="15" hidden="false" customHeight="true" outlineLevel="0" collapsed="false">
      <c r="A12" s="5" t="s">
        <v>21</v>
      </c>
      <c r="B12" s="10" t="n">
        <v>8.41</v>
      </c>
      <c r="C12" s="5" t="s">
        <v>22</v>
      </c>
      <c r="D12" s="5" t="s">
        <v>23</v>
      </c>
    </row>
    <row r="13" customFormat="false" ht="15" hidden="false" customHeight="true" outlineLevel="0" collapsed="false">
      <c r="A13" s="5" t="s">
        <v>24</v>
      </c>
      <c r="B13" s="6" t="n">
        <v>6.61</v>
      </c>
      <c r="C13" s="5" t="s">
        <v>7</v>
      </c>
      <c r="D13" s="5" t="s">
        <v>25</v>
      </c>
    </row>
    <row r="14" customFormat="false" ht="15" hidden="false" customHeight="true" outlineLevel="0" collapsed="false">
      <c r="A14" s="5" t="s">
        <v>26</v>
      </c>
      <c r="B14" s="11" t="n">
        <v>11400</v>
      </c>
      <c r="C14" s="5" t="s">
        <v>27</v>
      </c>
      <c r="D14" s="5" t="s">
        <v>28</v>
      </c>
    </row>
    <row r="15" customFormat="false" ht="15" hidden="false" customHeight="true" outlineLevel="0" collapsed="false">
      <c r="A15" s="5" t="s">
        <v>29</v>
      </c>
      <c r="B15" s="11" t="n">
        <v>12200</v>
      </c>
      <c r="C15" s="5" t="s">
        <v>27</v>
      </c>
      <c r="D15" s="5" t="s">
        <v>28</v>
      </c>
    </row>
    <row r="16" customFormat="false" ht="15" hidden="false" customHeight="true" outlineLevel="0" collapsed="false">
      <c r="A16" s="5" t="s">
        <v>30</v>
      </c>
      <c r="B16" s="11" t="n">
        <v>10750</v>
      </c>
      <c r="C16" s="5" t="s">
        <v>27</v>
      </c>
      <c r="D16" s="5" t="s">
        <v>28</v>
      </c>
    </row>
    <row r="19" customFormat="false" ht="15" hidden="false" customHeight="true" outlineLevel="0" collapsed="false">
      <c r="A19" s="3" t="s">
        <v>31</v>
      </c>
    </row>
    <row r="20" customFormat="false" ht="15" hidden="false" customHeight="true" outlineLevel="0" collapsed="false">
      <c r="A20" s="4" t="s">
        <v>32</v>
      </c>
      <c r="B20" s="4" t="s">
        <v>33</v>
      </c>
      <c r="C20" s="4" t="s">
        <v>34</v>
      </c>
      <c r="D20" s="4" t="s">
        <v>35</v>
      </c>
      <c r="E20" s="4" t="s">
        <v>36</v>
      </c>
      <c r="F20" s="4" t="s">
        <v>37</v>
      </c>
      <c r="G20" s="4" t="s">
        <v>38</v>
      </c>
      <c r="H20" s="4" t="s">
        <v>39</v>
      </c>
      <c r="I20" s="4" t="s">
        <v>40</v>
      </c>
      <c r="J20" s="4" t="s">
        <v>41</v>
      </c>
      <c r="K20" s="4" t="s">
        <v>42</v>
      </c>
      <c r="L20" s="4" t="s">
        <v>43</v>
      </c>
      <c r="M20" s="4" t="s">
        <v>44</v>
      </c>
      <c r="N20" s="4" t="s">
        <v>45</v>
      </c>
    </row>
    <row r="21" customFormat="false" ht="15" hidden="false" customHeight="true" outlineLevel="0" collapsed="false">
      <c r="A21" s="12" t="s">
        <v>46</v>
      </c>
      <c r="B21" s="13" t="n">
        <v>5.9</v>
      </c>
      <c r="C21" s="14" t="n">
        <v>6.1</v>
      </c>
      <c r="D21" s="14" t="n">
        <v>6.35</v>
      </c>
      <c r="E21" s="14" t="n">
        <v>6.6</v>
      </c>
      <c r="F21" s="14" t="n">
        <v>6.9</v>
      </c>
      <c r="G21" s="14" t="n">
        <v>7.2</v>
      </c>
      <c r="H21" s="14" t="n">
        <v>7.5</v>
      </c>
      <c r="I21" s="15" t="n">
        <v>7.3</v>
      </c>
      <c r="J21" s="15" t="n">
        <v>7.1</v>
      </c>
      <c r="K21" s="15" t="n">
        <v>6.9</v>
      </c>
      <c r="L21" s="15" t="n">
        <v>6.7</v>
      </c>
      <c r="M21" s="15" t="n">
        <v>6.5</v>
      </c>
      <c r="N21" s="15" t="n">
        <v>6.3</v>
      </c>
    </row>
    <row r="22" customFormat="false" ht="15" hidden="false" customHeight="true" outlineLevel="0" collapsed="false">
      <c r="A22" s="12" t="s">
        <v>47</v>
      </c>
      <c r="B22" s="13" t="n">
        <v>5.9</v>
      </c>
      <c r="C22" s="14" t="n">
        <v>5.95</v>
      </c>
      <c r="D22" s="14" t="n">
        <v>6</v>
      </c>
      <c r="E22" s="14" t="n">
        <v>6.1</v>
      </c>
      <c r="F22" s="14" t="n">
        <v>6.15</v>
      </c>
      <c r="G22" s="14" t="n">
        <v>6.2</v>
      </c>
      <c r="H22" s="14" t="n">
        <v>6.25</v>
      </c>
      <c r="I22" s="15" t="n">
        <v>6.15</v>
      </c>
      <c r="J22" s="15" t="n">
        <v>6</v>
      </c>
      <c r="K22" s="15" t="n">
        <v>5.85</v>
      </c>
      <c r="L22" s="15" t="n">
        <v>5.75</v>
      </c>
      <c r="M22" s="15" t="n">
        <v>5.65</v>
      </c>
      <c r="N22" s="15" t="n">
        <v>5.55</v>
      </c>
    </row>
    <row r="23" customFormat="false" ht="15" hidden="false" customHeight="true" outlineLevel="0" collapsed="false">
      <c r="A23" s="12" t="s">
        <v>48</v>
      </c>
      <c r="B23" s="13" t="n">
        <v>5.9</v>
      </c>
      <c r="C23" s="14" t="n">
        <v>5.7</v>
      </c>
      <c r="D23" s="14" t="n">
        <v>5.5</v>
      </c>
      <c r="E23" s="14" t="n">
        <v>5.4</v>
      </c>
      <c r="F23" s="14" t="n">
        <v>5.3</v>
      </c>
      <c r="G23" s="14" t="n">
        <v>5.2</v>
      </c>
      <c r="H23" s="14" t="n">
        <v>5.1</v>
      </c>
      <c r="I23" s="15" t="n">
        <v>4.9</v>
      </c>
      <c r="J23" s="15" t="n">
        <v>4.7</v>
      </c>
      <c r="K23" s="15" t="n">
        <v>4.6</v>
      </c>
      <c r="L23" s="15" t="n">
        <v>4.5</v>
      </c>
      <c r="M23" s="15" t="n">
        <v>4.4</v>
      </c>
      <c r="N23" s="15" t="n">
        <v>4.3</v>
      </c>
    </row>
    <row r="24" customFormat="false" ht="15" hidden="false" customHeight="true" outlineLevel="0" collapsed="false">
      <c r="A24" s="3" t="s">
        <v>49</v>
      </c>
    </row>
    <row r="25" customFormat="false" ht="15" hidden="false" customHeight="true" outlineLevel="0" collapsed="false">
      <c r="A25" s="4" t="s">
        <v>32</v>
      </c>
      <c r="B25" s="4" t="s">
        <v>33</v>
      </c>
      <c r="C25" s="4" t="s">
        <v>34</v>
      </c>
      <c r="D25" s="4" t="s">
        <v>35</v>
      </c>
      <c r="E25" s="4" t="s">
        <v>36</v>
      </c>
      <c r="F25" s="4" t="s">
        <v>37</v>
      </c>
      <c r="G25" s="4" t="s">
        <v>38</v>
      </c>
      <c r="H25" s="4" t="s">
        <v>39</v>
      </c>
      <c r="I25" s="4" t="s">
        <v>40</v>
      </c>
      <c r="J25" s="4" t="s">
        <v>41</v>
      </c>
      <c r="K25" s="4" t="s">
        <v>42</v>
      </c>
      <c r="L25" s="4" t="s">
        <v>43</v>
      </c>
      <c r="M25" s="4" t="s">
        <v>44</v>
      </c>
      <c r="N25" s="4" t="s">
        <v>45</v>
      </c>
    </row>
    <row r="26" customFormat="false" ht="15" hidden="false" customHeight="true" outlineLevel="0" collapsed="false">
      <c r="A26" s="12" t="s">
        <v>50</v>
      </c>
      <c r="B26" s="16" t="n">
        <f aca="false">(B21-B21)/B21</f>
        <v>0</v>
      </c>
      <c r="C26" s="17" t="n">
        <f aca="false">(C21-B21)/B21</f>
        <v>0.0338983050847456</v>
      </c>
      <c r="D26" s="17" t="n">
        <f aca="false">(D21-B21)/B21</f>
        <v>0.0762711864406779</v>
      </c>
      <c r="E26" s="17" t="n">
        <f aca="false">(E21-B21)/B21</f>
        <v>0.11864406779661</v>
      </c>
      <c r="F26" s="17" t="n">
        <f aca="false">(F21-B21)/B21</f>
        <v>0.169491525423729</v>
      </c>
      <c r="G26" s="17" t="n">
        <f aca="false">(G21-B21)/B21</f>
        <v>0.220338983050847</v>
      </c>
      <c r="H26" s="17" t="n">
        <f aca="false">(H21-B21)/B21</f>
        <v>0.271186440677966</v>
      </c>
      <c r="I26" s="18" t="n">
        <f aca="false">(I21-B21)/B21</f>
        <v>0.23728813559322</v>
      </c>
      <c r="J26" s="18" t="n">
        <f aca="false">(J21-B21)/B21</f>
        <v>0.203389830508474</v>
      </c>
      <c r="K26" s="18" t="n">
        <f aca="false">(K21-B21)/B21</f>
        <v>0.169491525423729</v>
      </c>
      <c r="L26" s="18" t="n">
        <f aca="false">(L21-B21)/B21</f>
        <v>0.135593220338983</v>
      </c>
      <c r="M26" s="18" t="n">
        <f aca="false">(M21-B21)/B21</f>
        <v>0.101694915254237</v>
      </c>
      <c r="N26" s="18" t="n">
        <f aca="false">(N21-B21)/B21</f>
        <v>0.0677966101694914</v>
      </c>
    </row>
    <row r="27" customFormat="false" ht="15" hidden="false" customHeight="true" outlineLevel="0" collapsed="false">
      <c r="A27" s="12" t="s">
        <v>51</v>
      </c>
      <c r="B27" s="16" t="n">
        <f aca="false">(B22-B22)/B22</f>
        <v>0</v>
      </c>
      <c r="C27" s="17" t="n">
        <f aca="false">(C22-B22)/B22</f>
        <v>0.00847457627118641</v>
      </c>
      <c r="D27" s="17" t="n">
        <f aca="false">(D22-B22)/B22</f>
        <v>0.0169491525423728</v>
      </c>
      <c r="E27" s="17" t="n">
        <f aca="false">(E22-B22)/B22</f>
        <v>0.0338983050847456</v>
      </c>
      <c r="F27" s="17" t="n">
        <f aca="false">(F22-B22)/B22</f>
        <v>0.0423728813559322</v>
      </c>
      <c r="G27" s="17" t="n">
        <f aca="false">(G22-B22)/B22</f>
        <v>0.0508474576271186</v>
      </c>
      <c r="H27" s="17" t="n">
        <f aca="false">(H22-B22)/B22</f>
        <v>0.059322033898305</v>
      </c>
      <c r="I27" s="18" t="n">
        <f aca="false">(I22-B22)/B22</f>
        <v>0.0423728813559322</v>
      </c>
      <c r="J27" s="18" t="n">
        <f aca="false">(J22-B22)/B22</f>
        <v>0.0169491525423728</v>
      </c>
      <c r="K27" s="18" t="n">
        <f aca="false">(K22-B22)/B22</f>
        <v>-0.00847457627118656</v>
      </c>
      <c r="L27" s="18" t="n">
        <f aca="false">(L22-B22)/B22</f>
        <v>-0.0254237288135594</v>
      </c>
      <c r="M27" s="18" t="n">
        <f aca="false">(M22-B22)/B22</f>
        <v>-0.0423728813559322</v>
      </c>
      <c r="N27" s="18" t="n">
        <f aca="false">(N22-B22)/B22</f>
        <v>-0.0593220338983052</v>
      </c>
    </row>
    <row r="28" customFormat="false" ht="15" hidden="false" customHeight="true" outlineLevel="0" collapsed="false">
      <c r="A28" s="12" t="s">
        <v>52</v>
      </c>
      <c r="B28" s="16" t="n">
        <f aca="false">(B23-B23)/B23</f>
        <v>0</v>
      </c>
      <c r="C28" s="17" t="n">
        <f aca="false">(C23-B23)/B23</f>
        <v>-0.0338983050847458</v>
      </c>
      <c r="D28" s="17" t="n">
        <f aca="false">(D23-B23)/B23</f>
        <v>-0.0677966101694916</v>
      </c>
      <c r="E28" s="17" t="n">
        <f aca="false">(E23-B23)/B23</f>
        <v>-0.0847457627118644</v>
      </c>
      <c r="F28" s="17" t="n">
        <f aca="false">(F23-B23)/B23</f>
        <v>-0.101694915254237</v>
      </c>
      <c r="G28" s="17" t="n">
        <f aca="false">(G23-B23)/B23</f>
        <v>-0.11864406779661</v>
      </c>
      <c r="H28" s="17" t="n">
        <f aca="false">(H23-B23)/B23</f>
        <v>-0.135593220338983</v>
      </c>
      <c r="I28" s="18" t="n">
        <f aca="false">(I23-B23)/B23</f>
        <v>-0.169491525423729</v>
      </c>
      <c r="J28" s="18" t="n">
        <f aca="false">(J23-B23)/B23</f>
        <v>-0.203389830508475</v>
      </c>
      <c r="K28" s="18" t="n">
        <f aca="false">(K23-B23)/B23</f>
        <v>-0.220338983050848</v>
      </c>
      <c r="L28" s="18" t="n">
        <f aca="false">(L23-B23)/B23</f>
        <v>-0.23728813559322</v>
      </c>
      <c r="M28" s="18" t="n">
        <f aca="false">(M23-B23)/B23</f>
        <v>-0.254237288135593</v>
      </c>
      <c r="N28" s="18" t="n">
        <f aca="false">(N23-B23)/B23</f>
        <v>-0.271186440677966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77BD"/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14" min="2" style="1" width="11"/>
  </cols>
  <sheetData>
    <row r="1" customFormat="false" ht="17.25" hidden="false" customHeight="true" outlineLevel="0" collapsed="false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54</v>
      </c>
    </row>
    <row r="4" customFormat="false" ht="15" hidden="false" customHeight="true" outlineLevel="0" collapsed="false">
      <c r="A4" s="4" t="s">
        <v>55</v>
      </c>
      <c r="B4" s="4" t="s">
        <v>56</v>
      </c>
      <c r="C4" s="4" t="s">
        <v>57</v>
      </c>
      <c r="D4" s="4" t="s">
        <v>58</v>
      </c>
      <c r="E4" s="4" t="s">
        <v>59</v>
      </c>
    </row>
    <row r="5" customFormat="false" ht="15" hidden="false" customHeight="true" outlineLevel="0" collapsed="false">
      <c r="A5" s="12" t="s">
        <v>60</v>
      </c>
      <c r="B5" s="19" t="s">
        <v>33</v>
      </c>
      <c r="C5" s="20" t="n">
        <v>2.8</v>
      </c>
      <c r="D5" s="5" t="s">
        <v>61</v>
      </c>
      <c r="E5" s="5" t="s">
        <v>62</v>
      </c>
    </row>
    <row r="6" customFormat="false" ht="15" hidden="false" customHeight="true" outlineLevel="0" collapsed="false">
      <c r="A6" s="12" t="s">
        <v>63</v>
      </c>
      <c r="B6" s="19" t="s">
        <v>64</v>
      </c>
      <c r="C6" s="20" t="n">
        <v>3.2</v>
      </c>
      <c r="D6" s="5" t="s">
        <v>65</v>
      </c>
      <c r="E6" s="5" t="s">
        <v>66</v>
      </c>
    </row>
    <row r="7" customFormat="false" ht="15" hidden="false" customHeight="true" outlineLevel="0" collapsed="false">
      <c r="A7" s="12" t="s">
        <v>67</v>
      </c>
      <c r="B7" s="19" t="s">
        <v>68</v>
      </c>
      <c r="C7" s="20" t="n">
        <v>3.8</v>
      </c>
      <c r="D7" s="5" t="s">
        <v>69</v>
      </c>
      <c r="E7" s="5" t="s">
        <v>70</v>
      </c>
    </row>
    <row r="8" customFormat="false" ht="15" hidden="false" customHeight="true" outlineLevel="0" collapsed="false">
      <c r="A8" s="12" t="s">
        <v>71</v>
      </c>
      <c r="B8" s="19" t="s">
        <v>39</v>
      </c>
      <c r="C8" s="20" t="n">
        <v>4.5</v>
      </c>
      <c r="D8" s="5" t="s">
        <v>72</v>
      </c>
      <c r="E8" s="5" t="s">
        <v>73</v>
      </c>
    </row>
    <row r="9" customFormat="false" ht="15" hidden="false" customHeight="true" outlineLevel="0" collapsed="false">
      <c r="A9" s="12" t="s">
        <v>74</v>
      </c>
      <c r="B9" s="19" t="s">
        <v>75</v>
      </c>
      <c r="C9" s="20" t="n">
        <v>2.5</v>
      </c>
      <c r="D9" s="5" t="s">
        <v>76</v>
      </c>
      <c r="E9" s="5" t="s">
        <v>77</v>
      </c>
    </row>
    <row r="10" customFormat="false" ht="15" hidden="false" customHeight="true" outlineLevel="0" collapsed="false">
      <c r="A10" s="12" t="s">
        <v>78</v>
      </c>
      <c r="B10" s="19" t="s">
        <v>79</v>
      </c>
      <c r="C10" s="20" t="n">
        <v>1.8</v>
      </c>
      <c r="D10" s="5" t="s">
        <v>80</v>
      </c>
      <c r="E10" s="5" t="s">
        <v>81</v>
      </c>
    </row>
    <row r="13" customFormat="false" ht="15" hidden="false" customHeight="true" outlineLevel="0" collapsed="false">
      <c r="A13" s="3" t="s">
        <v>82</v>
      </c>
    </row>
    <row r="14" customFormat="false" ht="15" hidden="false" customHeight="true" outlineLevel="0" collapsed="false">
      <c r="A14" s="4" t="s">
        <v>83</v>
      </c>
      <c r="B14" s="4" t="s">
        <v>33</v>
      </c>
      <c r="C14" s="4" t="s">
        <v>34</v>
      </c>
      <c r="D14" s="4" t="s">
        <v>35</v>
      </c>
      <c r="E14" s="4" t="s">
        <v>36</v>
      </c>
      <c r="F14" s="4" t="s">
        <v>37</v>
      </c>
      <c r="G14" s="4" t="s">
        <v>38</v>
      </c>
      <c r="H14" s="4" t="s">
        <v>39</v>
      </c>
      <c r="I14" s="4" t="s">
        <v>40</v>
      </c>
      <c r="J14" s="4" t="s">
        <v>41</v>
      </c>
      <c r="K14" s="4" t="s">
        <v>42</v>
      </c>
      <c r="L14" s="4" t="s">
        <v>43</v>
      </c>
      <c r="M14" s="4" t="s">
        <v>44</v>
      </c>
      <c r="N14" s="4" t="s">
        <v>45</v>
      </c>
    </row>
    <row r="15" customFormat="false" ht="15" hidden="false" customHeight="true" outlineLevel="0" collapsed="false">
      <c r="A15" s="12" t="s">
        <v>57</v>
      </c>
      <c r="B15" s="21" t="n">
        <v>2.8</v>
      </c>
      <c r="C15" s="22" t="n">
        <v>3</v>
      </c>
      <c r="D15" s="22" t="n">
        <v>3.2</v>
      </c>
      <c r="E15" s="22" t="n">
        <v>3.5</v>
      </c>
      <c r="F15" s="22" t="n">
        <v>3.7</v>
      </c>
      <c r="G15" s="22" t="n">
        <v>3.9</v>
      </c>
      <c r="H15" s="22" t="n">
        <v>4.5</v>
      </c>
      <c r="I15" s="23" t="n">
        <v>3.5</v>
      </c>
      <c r="J15" s="23" t="n">
        <v>2.8</v>
      </c>
      <c r="K15" s="23" t="n">
        <v>2.3</v>
      </c>
      <c r="L15" s="23" t="n">
        <v>2</v>
      </c>
      <c r="M15" s="23" t="n">
        <v>1.8</v>
      </c>
      <c r="N15" s="23" t="n">
        <v>1.5</v>
      </c>
    </row>
    <row r="16" customFormat="false" ht="15" hidden="false" customHeight="true" outlineLevel="0" collapsed="false">
      <c r="A16" s="12" t="s">
        <v>84</v>
      </c>
      <c r="B16" s="24" t="s">
        <v>85</v>
      </c>
      <c r="C16" s="25" t="s">
        <v>86</v>
      </c>
      <c r="D16" s="25" t="s">
        <v>87</v>
      </c>
      <c r="E16" s="25" t="s">
        <v>87</v>
      </c>
      <c r="F16" s="25" t="s">
        <v>87</v>
      </c>
      <c r="G16" s="25" t="s">
        <v>87</v>
      </c>
      <c r="H16" s="25" t="s">
        <v>88</v>
      </c>
      <c r="I16" s="26" t="s">
        <v>89</v>
      </c>
      <c r="J16" s="26" t="s">
        <v>89</v>
      </c>
      <c r="K16" s="26" t="s">
        <v>89</v>
      </c>
      <c r="L16" s="26" t="s">
        <v>89</v>
      </c>
      <c r="M16" s="26" t="s">
        <v>89</v>
      </c>
      <c r="N16" s="26" t="s">
        <v>89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3935"/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14" min="2" style="1" width="11"/>
  </cols>
  <sheetData>
    <row r="1" customFormat="false" ht="17.25" hidden="false" customHeight="true" outlineLevel="0" collapsed="false">
      <c r="A1" s="2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7.25" hidden="false" customHeight="true" outlineLevel="0" collapsed="false">
      <c r="A3" s="3" t="s">
        <v>91</v>
      </c>
      <c r="B3" s="27" t="n">
        <v>95.7</v>
      </c>
      <c r="C3" s="28" t="s">
        <v>13</v>
      </c>
    </row>
    <row r="5" customFormat="false" ht="15" hidden="false" customHeight="true" outlineLevel="0" collapsed="false">
      <c r="A5" s="3" t="s">
        <v>92</v>
      </c>
    </row>
    <row r="6" customFormat="false" ht="15" hidden="false" customHeight="true" outlineLevel="0" collapsed="false">
      <c r="A6" s="4" t="s">
        <v>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  <c r="K6" s="4" t="s">
        <v>42</v>
      </c>
      <c r="L6" s="4" t="s">
        <v>43</v>
      </c>
      <c r="M6" s="4" t="s">
        <v>44</v>
      </c>
      <c r="N6" s="4" t="s">
        <v>45</v>
      </c>
    </row>
    <row r="7" customFormat="false" ht="15" hidden="false" customHeight="true" outlineLevel="0" collapsed="false">
      <c r="A7" s="12" t="s">
        <v>93</v>
      </c>
      <c r="B7" s="29" t="n">
        <f aca="false">'Spot Price Scenarios'!B21</f>
        <v>5.9</v>
      </c>
      <c r="C7" s="30" t="n">
        <f aca="false">'Spot Price Scenarios'!C21</f>
        <v>6.1</v>
      </c>
      <c r="D7" s="30" t="n">
        <f aca="false">'Spot Price Scenarios'!D21</f>
        <v>6.35</v>
      </c>
      <c r="E7" s="30" t="n">
        <f aca="false">'Spot Price Scenarios'!E21</f>
        <v>6.6</v>
      </c>
      <c r="F7" s="30" t="n">
        <f aca="false">'Spot Price Scenarios'!F21</f>
        <v>6.9</v>
      </c>
      <c r="G7" s="30" t="n">
        <f aca="false">'Spot Price Scenarios'!G21</f>
        <v>7.2</v>
      </c>
      <c r="H7" s="30" t="n">
        <f aca="false">'Spot Price Scenarios'!H21</f>
        <v>7.5</v>
      </c>
      <c r="I7" s="31" t="n">
        <f aca="false">'Spot Price Scenarios'!I21</f>
        <v>7.3</v>
      </c>
      <c r="J7" s="31" t="n">
        <f aca="false">'Spot Price Scenarios'!J21</f>
        <v>7.1</v>
      </c>
      <c r="K7" s="31" t="n">
        <f aca="false">'Spot Price Scenarios'!K21</f>
        <v>6.9</v>
      </c>
      <c r="L7" s="31" t="n">
        <f aca="false">'Spot Price Scenarios'!L21</f>
        <v>6.7</v>
      </c>
      <c r="M7" s="31" t="n">
        <f aca="false">'Spot Price Scenarios'!M21</f>
        <v>6.5</v>
      </c>
      <c r="N7" s="31" t="n">
        <f aca="false">'Spot Price Scenarios'!N21</f>
        <v>6.3</v>
      </c>
    </row>
    <row r="8" customFormat="false" ht="15" hidden="false" customHeight="true" outlineLevel="0" collapsed="false">
      <c r="A8" s="12" t="s">
        <v>94</v>
      </c>
      <c r="B8" s="32" t="n">
        <f aca="false">'Spot Price Scenarios'!B26</f>
        <v>0</v>
      </c>
      <c r="C8" s="33" t="n">
        <f aca="false">'Spot Price Scenarios'!C26</f>
        <v>0.0338983050847456</v>
      </c>
      <c r="D8" s="33" t="n">
        <f aca="false">'Spot Price Scenarios'!D26</f>
        <v>0.0762711864406779</v>
      </c>
      <c r="E8" s="33" t="n">
        <f aca="false">'Spot Price Scenarios'!E26</f>
        <v>0.11864406779661</v>
      </c>
      <c r="F8" s="33" t="n">
        <f aca="false">'Spot Price Scenarios'!F26</f>
        <v>0.169491525423729</v>
      </c>
      <c r="G8" s="33" t="n">
        <f aca="false">'Spot Price Scenarios'!G26</f>
        <v>0.220338983050847</v>
      </c>
      <c r="H8" s="33" t="n">
        <f aca="false">'Spot Price Scenarios'!H26</f>
        <v>0.271186440677966</v>
      </c>
      <c r="I8" s="34" t="n">
        <f aca="false">'Spot Price Scenarios'!I26</f>
        <v>0.23728813559322</v>
      </c>
      <c r="J8" s="34" t="n">
        <f aca="false">'Spot Price Scenarios'!J26</f>
        <v>0.203389830508474</v>
      </c>
      <c r="K8" s="34" t="n">
        <f aca="false">'Spot Price Scenarios'!K26</f>
        <v>0.169491525423729</v>
      </c>
      <c r="L8" s="34" t="n">
        <f aca="false">'Spot Price Scenarios'!L26</f>
        <v>0.135593220338983</v>
      </c>
      <c r="M8" s="34" t="n">
        <f aca="false">'Spot Price Scenarios'!M26</f>
        <v>0.101694915254237</v>
      </c>
      <c r="N8" s="34" t="n">
        <f aca="false">'Spot Price Scenarios'!N26</f>
        <v>0.0677966101694914</v>
      </c>
    </row>
    <row r="9" customFormat="false" ht="15" hidden="false" customHeight="true" outlineLevel="0" collapsed="false">
      <c r="A9" s="12" t="s">
        <v>57</v>
      </c>
      <c r="B9" s="35" t="n">
        <f aca="false">'Amplification Model'!B15</f>
        <v>2.8</v>
      </c>
      <c r="C9" s="36" t="n">
        <f aca="false">'Amplification Model'!C15</f>
        <v>3</v>
      </c>
      <c r="D9" s="36" t="n">
        <f aca="false">'Amplification Model'!D15</f>
        <v>3.2</v>
      </c>
      <c r="E9" s="36" t="n">
        <f aca="false">'Amplification Model'!E15</f>
        <v>3.5</v>
      </c>
      <c r="F9" s="36" t="n">
        <f aca="false">'Amplification Model'!F15</f>
        <v>3.7</v>
      </c>
      <c r="G9" s="36" t="n">
        <f aca="false">'Amplification Model'!G15</f>
        <v>3.9</v>
      </c>
      <c r="H9" s="36" t="n">
        <f aca="false">'Amplification Model'!H15</f>
        <v>4.5</v>
      </c>
      <c r="I9" s="37" t="n">
        <f aca="false">'Amplification Model'!I15</f>
        <v>3.5</v>
      </c>
      <c r="J9" s="37" t="n">
        <f aca="false">'Amplification Model'!J15</f>
        <v>2.8</v>
      </c>
      <c r="K9" s="37" t="n">
        <f aca="false">'Amplification Model'!K15</f>
        <v>2.3</v>
      </c>
      <c r="L9" s="37" t="n">
        <f aca="false">'Amplification Model'!L15</f>
        <v>2</v>
      </c>
      <c r="M9" s="37" t="n">
        <f aca="false">'Amplification Model'!M15</f>
        <v>1.8</v>
      </c>
      <c r="N9" s="37" t="n">
        <f aca="false">'Amplification Model'!N15</f>
        <v>1.5</v>
      </c>
    </row>
    <row r="10" customFormat="false" ht="15" hidden="false" customHeight="true" outlineLevel="0" collapsed="false">
      <c r="A10" s="12" t="s">
        <v>95</v>
      </c>
      <c r="B10" s="16" t="n">
        <f aca="false">B8*B9</f>
        <v>0</v>
      </c>
      <c r="C10" s="17" t="n">
        <f aca="false">C8*C9</f>
        <v>0.101694915254237</v>
      </c>
      <c r="D10" s="17" t="n">
        <f aca="false">D8*D9</f>
        <v>0.244067796610169</v>
      </c>
      <c r="E10" s="17" t="n">
        <f aca="false">E8*E9</f>
        <v>0.415254237288135</v>
      </c>
      <c r="F10" s="17" t="n">
        <f aca="false">F8*F9</f>
        <v>0.627118644067797</v>
      </c>
      <c r="G10" s="17" t="n">
        <f aca="false">G8*G9</f>
        <v>0.859322033898305</v>
      </c>
      <c r="H10" s="17" t="n">
        <f aca="false">H8*H9</f>
        <v>1.22033898305085</v>
      </c>
      <c r="I10" s="18" t="n">
        <f aca="false">I8*I9</f>
        <v>0.830508474576271</v>
      </c>
      <c r="J10" s="18" t="n">
        <f aca="false">J8*J9</f>
        <v>0.569491525423728</v>
      </c>
      <c r="K10" s="18" t="n">
        <f aca="false">K8*K9</f>
        <v>0.389830508474576</v>
      </c>
      <c r="L10" s="18" t="n">
        <f aca="false">L8*L9</f>
        <v>0.271186440677966</v>
      </c>
      <c r="M10" s="18" t="n">
        <f aca="false">M8*M9</f>
        <v>0.183050847457627</v>
      </c>
      <c r="N10" s="18" t="n">
        <f aca="false">N8*N9</f>
        <v>0.101694915254237</v>
      </c>
    </row>
    <row r="11" customFormat="false" ht="15" hidden="false" customHeight="true" outlineLevel="0" collapsed="false">
      <c r="A11" s="38" t="s">
        <v>12</v>
      </c>
      <c r="B11" s="39" t="n">
        <f aca="false">$B$3*(1+B10)</f>
        <v>95.7</v>
      </c>
      <c r="C11" s="40" t="n">
        <f aca="false">$B$3*(1+C10)</f>
        <v>105.43220338983</v>
      </c>
      <c r="D11" s="40" t="n">
        <f aca="false">$B$3*(1+D10)</f>
        <v>119.057288135593</v>
      </c>
      <c r="E11" s="40" t="n">
        <f aca="false">$B$3*(1+E10)</f>
        <v>135.439830508475</v>
      </c>
      <c r="F11" s="40" t="n">
        <f aca="false">$B$3*(1+F10)</f>
        <v>155.715254237288</v>
      </c>
      <c r="G11" s="40" t="n">
        <f aca="false">$B$3*(1+G10)</f>
        <v>177.937118644068</v>
      </c>
      <c r="H11" s="40" t="n">
        <f aca="false">$B$3*(1+H10)</f>
        <v>212.486440677966</v>
      </c>
      <c r="I11" s="41" t="n">
        <f aca="false">$B$3*(1+I10)</f>
        <v>175.179661016949</v>
      </c>
      <c r="J11" s="41" t="n">
        <f aca="false">$B$3*(1+J10)</f>
        <v>150.200338983051</v>
      </c>
      <c r="K11" s="41" t="n">
        <f aca="false">$B$3*(1+K10)</f>
        <v>133.006779661017</v>
      </c>
      <c r="L11" s="41" t="n">
        <f aca="false">$B$3*(1+L10)</f>
        <v>121.652542372881</v>
      </c>
      <c r="M11" s="41" t="n">
        <f aca="false">$B$3*(1+M10)</f>
        <v>113.217966101695</v>
      </c>
      <c r="N11" s="41" t="n">
        <f aca="false">$B$3*(1+N10)</f>
        <v>105.432203389831</v>
      </c>
    </row>
    <row r="12" customFormat="false" ht="15" hidden="false" customHeight="true" outlineLevel="0" collapsed="false">
      <c r="A12" s="12" t="s">
        <v>96</v>
      </c>
      <c r="B12" s="42" t="n">
        <f aca="false">B11-$B$3</f>
        <v>0</v>
      </c>
      <c r="C12" s="43" t="n">
        <f aca="false">C11-$B$3</f>
        <v>9.73220338983049</v>
      </c>
      <c r="D12" s="43" t="n">
        <f aca="false">D11-$B$3</f>
        <v>23.3572881355932</v>
      </c>
      <c r="E12" s="43" t="n">
        <f aca="false">E11-$B$3</f>
        <v>39.7398305084745</v>
      </c>
      <c r="F12" s="43" t="n">
        <f aca="false">F11-$B$3</f>
        <v>60.0152542372882</v>
      </c>
      <c r="G12" s="43" t="n">
        <f aca="false">G11-$B$3</f>
        <v>82.2371186440678</v>
      </c>
      <c r="H12" s="43" t="n">
        <f aca="false">H11-$B$3</f>
        <v>116.786440677966</v>
      </c>
      <c r="I12" s="44" t="n">
        <f aca="false">I11-$B$3</f>
        <v>79.4796610169491</v>
      </c>
      <c r="J12" s="44" t="n">
        <f aca="false">J11-$B$3</f>
        <v>54.5003389830508</v>
      </c>
      <c r="K12" s="44" t="n">
        <f aca="false">K11-$B$3</f>
        <v>37.3067796610169</v>
      </c>
      <c r="L12" s="44" t="n">
        <f aca="false">L11-$B$3</f>
        <v>25.9525423728814</v>
      </c>
      <c r="M12" s="44" t="n">
        <f aca="false">M11-$B$3</f>
        <v>17.5179661016949</v>
      </c>
      <c r="N12" s="44" t="n">
        <f aca="false">N11-$B$3</f>
        <v>9.7322033898305</v>
      </c>
    </row>
    <row r="15" customFormat="false" ht="15" hidden="false" customHeight="true" outlineLevel="0" collapsed="false">
      <c r="A15" s="3" t="s">
        <v>97</v>
      </c>
    </row>
    <row r="16" customFormat="false" ht="15" hidden="false" customHeight="true" outlineLevel="0" collapsed="false">
      <c r="A16" s="4" t="s">
        <v>2</v>
      </c>
      <c r="B16" s="4" t="s">
        <v>33</v>
      </c>
      <c r="C16" s="4" t="s">
        <v>34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40</v>
      </c>
      <c r="J16" s="4" t="s">
        <v>41</v>
      </c>
      <c r="K16" s="4" t="s">
        <v>42</v>
      </c>
      <c r="L16" s="4" t="s">
        <v>43</v>
      </c>
      <c r="M16" s="4" t="s">
        <v>44</v>
      </c>
      <c r="N16" s="4" t="s">
        <v>45</v>
      </c>
    </row>
    <row r="17" customFormat="false" ht="15" hidden="false" customHeight="true" outlineLevel="0" collapsed="false">
      <c r="A17" s="12" t="s">
        <v>93</v>
      </c>
      <c r="B17" s="29" t="n">
        <f aca="false">'Spot Price Scenarios'!B22</f>
        <v>5.9</v>
      </c>
      <c r="C17" s="30" t="n">
        <f aca="false">'Spot Price Scenarios'!C22</f>
        <v>5.95</v>
      </c>
      <c r="D17" s="30" t="n">
        <f aca="false">'Spot Price Scenarios'!D22</f>
        <v>6</v>
      </c>
      <c r="E17" s="30" t="n">
        <f aca="false">'Spot Price Scenarios'!E22</f>
        <v>6.1</v>
      </c>
      <c r="F17" s="30" t="n">
        <f aca="false">'Spot Price Scenarios'!F22</f>
        <v>6.15</v>
      </c>
      <c r="G17" s="30" t="n">
        <f aca="false">'Spot Price Scenarios'!G22</f>
        <v>6.2</v>
      </c>
      <c r="H17" s="30" t="n">
        <f aca="false">'Spot Price Scenarios'!H22</f>
        <v>6.25</v>
      </c>
      <c r="I17" s="31" t="n">
        <f aca="false">'Spot Price Scenarios'!I22</f>
        <v>6.15</v>
      </c>
      <c r="J17" s="31" t="n">
        <f aca="false">'Spot Price Scenarios'!J22</f>
        <v>6</v>
      </c>
      <c r="K17" s="31" t="n">
        <f aca="false">'Spot Price Scenarios'!K22</f>
        <v>5.85</v>
      </c>
      <c r="L17" s="31" t="n">
        <f aca="false">'Spot Price Scenarios'!L22</f>
        <v>5.75</v>
      </c>
      <c r="M17" s="31" t="n">
        <f aca="false">'Spot Price Scenarios'!M22</f>
        <v>5.65</v>
      </c>
      <c r="N17" s="31" t="n">
        <f aca="false">'Spot Price Scenarios'!N22</f>
        <v>5.55</v>
      </c>
    </row>
    <row r="18" customFormat="false" ht="15" hidden="false" customHeight="true" outlineLevel="0" collapsed="false">
      <c r="A18" s="12" t="s">
        <v>94</v>
      </c>
      <c r="B18" s="32" t="n">
        <f aca="false">'Spot Price Scenarios'!B27</f>
        <v>0</v>
      </c>
      <c r="C18" s="33" t="n">
        <f aca="false">'Spot Price Scenarios'!C27</f>
        <v>0.00847457627118641</v>
      </c>
      <c r="D18" s="33" t="n">
        <f aca="false">'Spot Price Scenarios'!D27</f>
        <v>0.0169491525423728</v>
      </c>
      <c r="E18" s="33" t="n">
        <f aca="false">'Spot Price Scenarios'!E27</f>
        <v>0.0338983050847456</v>
      </c>
      <c r="F18" s="33" t="n">
        <f aca="false">'Spot Price Scenarios'!F27</f>
        <v>0.0423728813559322</v>
      </c>
      <c r="G18" s="33" t="n">
        <f aca="false">'Spot Price Scenarios'!G27</f>
        <v>0.0508474576271186</v>
      </c>
      <c r="H18" s="33" t="n">
        <f aca="false">'Spot Price Scenarios'!H27</f>
        <v>0.059322033898305</v>
      </c>
      <c r="I18" s="34" t="n">
        <f aca="false">'Spot Price Scenarios'!I27</f>
        <v>0.0423728813559322</v>
      </c>
      <c r="J18" s="34" t="n">
        <f aca="false">'Spot Price Scenarios'!J27</f>
        <v>0.0169491525423728</v>
      </c>
      <c r="K18" s="34" t="n">
        <f aca="false">'Spot Price Scenarios'!K27</f>
        <v>-0.00847457627118656</v>
      </c>
      <c r="L18" s="34" t="n">
        <f aca="false">'Spot Price Scenarios'!L27</f>
        <v>-0.0254237288135594</v>
      </c>
      <c r="M18" s="34" t="n">
        <f aca="false">'Spot Price Scenarios'!M27</f>
        <v>-0.0423728813559322</v>
      </c>
      <c r="N18" s="34" t="n">
        <f aca="false">'Spot Price Scenarios'!N27</f>
        <v>-0.0593220338983052</v>
      </c>
    </row>
    <row r="19" customFormat="false" ht="15" hidden="false" customHeight="true" outlineLevel="0" collapsed="false">
      <c r="A19" s="12" t="s">
        <v>57</v>
      </c>
      <c r="B19" s="35" t="n">
        <f aca="false">'Amplification Model'!B15</f>
        <v>2.8</v>
      </c>
      <c r="C19" s="36" t="n">
        <f aca="false">'Amplification Model'!C15</f>
        <v>3</v>
      </c>
      <c r="D19" s="36" t="n">
        <f aca="false">'Amplification Model'!D15</f>
        <v>3.2</v>
      </c>
      <c r="E19" s="36" t="n">
        <f aca="false">'Amplification Model'!E15</f>
        <v>3.5</v>
      </c>
      <c r="F19" s="36" t="n">
        <f aca="false">'Amplification Model'!F15</f>
        <v>3.7</v>
      </c>
      <c r="G19" s="36" t="n">
        <f aca="false">'Amplification Model'!G15</f>
        <v>3.9</v>
      </c>
      <c r="H19" s="36" t="n">
        <f aca="false">'Amplification Model'!H15</f>
        <v>4.5</v>
      </c>
      <c r="I19" s="37" t="n">
        <f aca="false">'Amplification Model'!I15</f>
        <v>3.5</v>
      </c>
      <c r="J19" s="37" t="n">
        <f aca="false">'Amplification Model'!J15</f>
        <v>2.8</v>
      </c>
      <c r="K19" s="37" t="n">
        <f aca="false">'Amplification Model'!K15</f>
        <v>2.3</v>
      </c>
      <c r="L19" s="37" t="n">
        <f aca="false">'Amplification Model'!L15</f>
        <v>2</v>
      </c>
      <c r="M19" s="37" t="n">
        <f aca="false">'Amplification Model'!M15</f>
        <v>1.8</v>
      </c>
      <c r="N19" s="37" t="n">
        <f aca="false">'Amplification Model'!N15</f>
        <v>1.5</v>
      </c>
    </row>
    <row r="20" customFormat="false" ht="15" hidden="false" customHeight="true" outlineLevel="0" collapsed="false">
      <c r="A20" s="12" t="s">
        <v>95</v>
      </c>
      <c r="B20" s="16" t="n">
        <f aca="false">B18*B19</f>
        <v>0</v>
      </c>
      <c r="C20" s="17" t="n">
        <f aca="false">C18*C19</f>
        <v>0.0254237288135592</v>
      </c>
      <c r="D20" s="17" t="n">
        <f aca="false">D18*D19</f>
        <v>0.054237288135593</v>
      </c>
      <c r="E20" s="17" t="n">
        <f aca="false">E18*E19</f>
        <v>0.11864406779661</v>
      </c>
      <c r="F20" s="17" t="n">
        <f aca="false">F18*F19</f>
        <v>0.156779661016949</v>
      </c>
      <c r="G20" s="17" t="n">
        <f aca="false">G18*G19</f>
        <v>0.198305084745763</v>
      </c>
      <c r="H20" s="17" t="n">
        <f aca="false">H18*H19</f>
        <v>0.266949152542373</v>
      </c>
      <c r="I20" s="18" t="n">
        <f aca="false">I18*I19</f>
        <v>0.148305084745763</v>
      </c>
      <c r="J20" s="18" t="n">
        <f aca="false">J18*J19</f>
        <v>0.0474576271186439</v>
      </c>
      <c r="K20" s="18" t="n">
        <f aca="false">K18*K19</f>
        <v>-0.0194915254237291</v>
      </c>
      <c r="L20" s="18" t="n">
        <f aca="false">L18*L19</f>
        <v>-0.0508474576271188</v>
      </c>
      <c r="M20" s="18" t="n">
        <f aca="false">M18*M19</f>
        <v>-0.076271186440678</v>
      </c>
      <c r="N20" s="18" t="n">
        <f aca="false">N18*N19</f>
        <v>-0.0889830508474578</v>
      </c>
    </row>
    <row r="21" customFormat="false" ht="15" hidden="false" customHeight="true" outlineLevel="0" collapsed="false">
      <c r="A21" s="38" t="s">
        <v>12</v>
      </c>
      <c r="B21" s="39" t="n">
        <f aca="false">$B$3*(1+B20)</f>
        <v>95.7</v>
      </c>
      <c r="C21" s="40" t="n">
        <f aca="false">$B$3*(1+C20)</f>
        <v>98.1330508474576</v>
      </c>
      <c r="D21" s="40" t="n">
        <f aca="false">$B$3*(1+D20)</f>
        <v>100.890508474576</v>
      </c>
      <c r="E21" s="40" t="n">
        <f aca="false">$B$3*(1+E20)</f>
        <v>107.054237288136</v>
      </c>
      <c r="F21" s="40" t="n">
        <f aca="false">$B$3*(1+F20)</f>
        <v>110.703813559322</v>
      </c>
      <c r="G21" s="40" t="n">
        <f aca="false">$B$3*(1+G20)</f>
        <v>114.677796610169</v>
      </c>
      <c r="H21" s="40" t="n">
        <f aca="false">$B$3*(1+H20)</f>
        <v>121.247033898305</v>
      </c>
      <c r="I21" s="41" t="n">
        <f aca="false">$B$3*(1+I20)</f>
        <v>109.89279661017</v>
      </c>
      <c r="J21" s="41" t="n">
        <f aca="false">$B$3*(1+J20)</f>
        <v>100.241694915254</v>
      </c>
      <c r="K21" s="41" t="n">
        <f aca="false">$B$3*(1+K20)</f>
        <v>93.8346610169491</v>
      </c>
      <c r="L21" s="41" t="n">
        <f aca="false">$B$3*(1+L20)</f>
        <v>90.8338983050847</v>
      </c>
      <c r="M21" s="41" t="n">
        <f aca="false">$B$3*(1+M20)</f>
        <v>88.4008474576271</v>
      </c>
      <c r="N21" s="41" t="n">
        <f aca="false">$B$3*(1+N20)</f>
        <v>87.1843220338983</v>
      </c>
    </row>
    <row r="22" customFormat="false" ht="15" hidden="false" customHeight="true" outlineLevel="0" collapsed="false">
      <c r="A22" s="12" t="s">
        <v>96</v>
      </c>
      <c r="B22" s="42" t="n">
        <f aca="false">B21-$B$3</f>
        <v>0</v>
      </c>
      <c r="C22" s="43" t="n">
        <f aca="false">C21-$B$3</f>
        <v>2.43305084745762</v>
      </c>
      <c r="D22" s="43" t="n">
        <f aca="false">D21-$B$3</f>
        <v>5.19050847457625</v>
      </c>
      <c r="E22" s="43" t="n">
        <f aca="false">E21-$B$3</f>
        <v>11.3542372881355</v>
      </c>
      <c r="F22" s="43" t="n">
        <f aca="false">F21-$B$3</f>
        <v>15.003813559322</v>
      </c>
      <c r="G22" s="43" t="n">
        <f aca="false">G21-$B$3</f>
        <v>18.9777966101695</v>
      </c>
      <c r="H22" s="43" t="n">
        <f aca="false">H21-$B$3</f>
        <v>25.5470338983051</v>
      </c>
      <c r="I22" s="44" t="n">
        <f aca="false">I21-$B$3</f>
        <v>14.1927966101695</v>
      </c>
      <c r="J22" s="44" t="n">
        <f aca="false">J21-$B$3</f>
        <v>4.54169491525423</v>
      </c>
      <c r="K22" s="44" t="n">
        <f aca="false">K21-$B$3</f>
        <v>-1.86533898305088</v>
      </c>
      <c r="L22" s="44" t="n">
        <f aca="false">L21-$B$3</f>
        <v>-4.86610169491526</v>
      </c>
      <c r="M22" s="44" t="n">
        <f aca="false">M21-$B$3</f>
        <v>-7.29915254237288</v>
      </c>
      <c r="N22" s="44" t="n">
        <f aca="false">N21-$B$3</f>
        <v>-8.51567796610171</v>
      </c>
    </row>
    <row r="25" customFormat="false" ht="15" hidden="false" customHeight="true" outlineLevel="0" collapsed="false">
      <c r="A25" s="3" t="s">
        <v>98</v>
      </c>
    </row>
    <row r="26" customFormat="false" ht="15" hidden="false" customHeight="true" outlineLevel="0" collapsed="false">
      <c r="A26" s="4" t="s">
        <v>2</v>
      </c>
      <c r="B26" s="45" t="n">
        <f aca="false">'Spot Price Scenarios'!B28</f>
        <v>0</v>
      </c>
      <c r="C26" s="45" t="n">
        <f aca="false">'Spot Price Scenarios'!C28</f>
        <v>-0.0338983050847458</v>
      </c>
      <c r="D26" s="45" t="n">
        <f aca="false">'Spot Price Scenarios'!D28</f>
        <v>-0.0677966101694916</v>
      </c>
      <c r="E26" s="45" t="n">
        <f aca="false">'Spot Price Scenarios'!E28</f>
        <v>-0.0847457627118644</v>
      </c>
      <c r="F26" s="45" t="n">
        <f aca="false">'Spot Price Scenarios'!F28</f>
        <v>-0.101694915254237</v>
      </c>
      <c r="G26" s="45" t="n">
        <f aca="false">'Spot Price Scenarios'!G28</f>
        <v>-0.11864406779661</v>
      </c>
      <c r="H26" s="45" t="n">
        <f aca="false">'Spot Price Scenarios'!H28</f>
        <v>-0.135593220338983</v>
      </c>
      <c r="I26" s="45" t="n">
        <f aca="false">'Spot Price Scenarios'!I28</f>
        <v>-0.169491525423729</v>
      </c>
      <c r="J26" s="45" t="n">
        <f aca="false">'Spot Price Scenarios'!J28</f>
        <v>-0.203389830508475</v>
      </c>
      <c r="K26" s="45" t="n">
        <f aca="false">'Spot Price Scenarios'!K28</f>
        <v>-0.220338983050848</v>
      </c>
      <c r="L26" s="45" t="n">
        <f aca="false">'Spot Price Scenarios'!L28</f>
        <v>-0.23728813559322</v>
      </c>
      <c r="M26" s="45" t="n">
        <f aca="false">'Spot Price Scenarios'!M28</f>
        <v>-0.254237288135593</v>
      </c>
      <c r="N26" s="45" t="n">
        <f aca="false">'Spot Price Scenarios'!N28</f>
        <v>-0.271186440677966</v>
      </c>
    </row>
    <row r="27" customFormat="false" ht="15" hidden="false" customHeight="true" outlineLevel="0" collapsed="false">
      <c r="A27" s="12" t="s">
        <v>93</v>
      </c>
      <c r="B27" s="29" t="n">
        <f aca="false">'Spot Price Scenarios'!B23</f>
        <v>5.9</v>
      </c>
      <c r="C27" s="30" t="n">
        <f aca="false">'Spot Price Scenarios'!C23</f>
        <v>5.7</v>
      </c>
      <c r="D27" s="30" t="n">
        <f aca="false">'Spot Price Scenarios'!D23</f>
        <v>5.5</v>
      </c>
      <c r="E27" s="30" t="n">
        <f aca="false">'Spot Price Scenarios'!E23</f>
        <v>5.4</v>
      </c>
      <c r="F27" s="30" t="n">
        <f aca="false">'Spot Price Scenarios'!F23</f>
        <v>5.3</v>
      </c>
      <c r="G27" s="30" t="n">
        <f aca="false">'Spot Price Scenarios'!G23</f>
        <v>5.2</v>
      </c>
      <c r="H27" s="30" t="n">
        <f aca="false">'Spot Price Scenarios'!H23</f>
        <v>5.1</v>
      </c>
      <c r="I27" s="31" t="n">
        <f aca="false">'Spot Price Scenarios'!I23</f>
        <v>4.9</v>
      </c>
      <c r="J27" s="31" t="n">
        <f aca="false">'Spot Price Scenarios'!J23</f>
        <v>4.7</v>
      </c>
      <c r="K27" s="31" t="n">
        <f aca="false">'Spot Price Scenarios'!K23</f>
        <v>4.6</v>
      </c>
      <c r="L27" s="31" t="n">
        <f aca="false">'Spot Price Scenarios'!L23</f>
        <v>4.5</v>
      </c>
      <c r="M27" s="31" t="n">
        <f aca="false">'Spot Price Scenarios'!M23</f>
        <v>4.4</v>
      </c>
      <c r="N27" s="31" t="n">
        <f aca="false">'Spot Price Scenarios'!N23</f>
        <v>4.3</v>
      </c>
    </row>
    <row r="28" customFormat="false" ht="15" hidden="false" customHeight="true" outlineLevel="0" collapsed="false">
      <c r="A28" s="12" t="s">
        <v>94</v>
      </c>
      <c r="B28" s="32" t="n">
        <f aca="false">'Spot Price Scenarios'!B28</f>
        <v>0</v>
      </c>
      <c r="C28" s="33" t="n">
        <f aca="false">'Spot Price Scenarios'!C28</f>
        <v>-0.0338983050847458</v>
      </c>
      <c r="D28" s="33" t="n">
        <f aca="false">'Spot Price Scenarios'!D28</f>
        <v>-0.0677966101694916</v>
      </c>
      <c r="E28" s="33" t="n">
        <f aca="false">'Spot Price Scenarios'!E28</f>
        <v>-0.0847457627118644</v>
      </c>
      <c r="F28" s="33" t="n">
        <f aca="false">'Spot Price Scenarios'!F28</f>
        <v>-0.101694915254237</v>
      </c>
      <c r="G28" s="33" t="n">
        <f aca="false">'Spot Price Scenarios'!G28</f>
        <v>-0.11864406779661</v>
      </c>
      <c r="H28" s="33" t="n">
        <f aca="false">'Spot Price Scenarios'!H28</f>
        <v>-0.135593220338983</v>
      </c>
      <c r="I28" s="34" t="n">
        <f aca="false">'Spot Price Scenarios'!I28</f>
        <v>-0.169491525423729</v>
      </c>
      <c r="J28" s="34" t="n">
        <f aca="false">'Spot Price Scenarios'!J28</f>
        <v>-0.203389830508475</v>
      </c>
      <c r="K28" s="34" t="n">
        <f aca="false">'Spot Price Scenarios'!K28</f>
        <v>-0.220338983050848</v>
      </c>
      <c r="L28" s="34" t="n">
        <f aca="false">'Spot Price Scenarios'!L28</f>
        <v>-0.23728813559322</v>
      </c>
      <c r="M28" s="34" t="n">
        <f aca="false">'Spot Price Scenarios'!M28</f>
        <v>-0.254237288135593</v>
      </c>
      <c r="N28" s="34" t="n">
        <f aca="false">'Spot Price Scenarios'!N28</f>
        <v>-0.271186440677966</v>
      </c>
    </row>
    <row r="29" customFormat="false" ht="15" hidden="false" customHeight="true" outlineLevel="0" collapsed="false">
      <c r="A29" s="12" t="s">
        <v>57</v>
      </c>
      <c r="B29" s="35" t="n">
        <f aca="false">'Amplification Model'!B15</f>
        <v>2.8</v>
      </c>
      <c r="C29" s="36" t="n">
        <f aca="false">'Amplification Model'!C15</f>
        <v>3</v>
      </c>
      <c r="D29" s="36" t="n">
        <f aca="false">'Amplification Model'!D15</f>
        <v>3.2</v>
      </c>
      <c r="E29" s="36" t="n">
        <f aca="false">'Amplification Model'!E15</f>
        <v>3.5</v>
      </c>
      <c r="F29" s="36" t="n">
        <f aca="false">'Amplification Model'!F15</f>
        <v>3.7</v>
      </c>
      <c r="G29" s="36" t="n">
        <f aca="false">'Amplification Model'!G15</f>
        <v>3.9</v>
      </c>
      <c r="H29" s="36" t="n">
        <f aca="false">'Amplification Model'!H15</f>
        <v>4.5</v>
      </c>
      <c r="I29" s="37" t="n">
        <f aca="false">'Amplification Model'!I15</f>
        <v>3.5</v>
      </c>
      <c r="J29" s="37" t="n">
        <f aca="false">'Amplification Model'!J15</f>
        <v>2.8</v>
      </c>
      <c r="K29" s="37" t="n">
        <f aca="false">'Amplification Model'!K15</f>
        <v>2.3</v>
      </c>
      <c r="L29" s="37" t="n">
        <f aca="false">'Amplification Model'!L15</f>
        <v>2</v>
      </c>
      <c r="M29" s="37" t="n">
        <f aca="false">'Amplification Model'!M15</f>
        <v>1.8</v>
      </c>
      <c r="N29" s="37" t="n">
        <f aca="false">'Amplification Model'!N15</f>
        <v>1.5</v>
      </c>
    </row>
    <row r="30" customFormat="false" ht="15" hidden="false" customHeight="true" outlineLevel="0" collapsed="false">
      <c r="A30" s="12" t="s">
        <v>95</v>
      </c>
      <c r="B30" s="16" t="n">
        <f aca="false">B28*B29</f>
        <v>0</v>
      </c>
      <c r="C30" s="17" t="n">
        <f aca="false">C28*C29</f>
        <v>-0.101694915254237</v>
      </c>
      <c r="D30" s="17" t="n">
        <f aca="false">D28*D29</f>
        <v>-0.216949152542373</v>
      </c>
      <c r="E30" s="17" t="n">
        <f aca="false">E28*E29</f>
        <v>-0.296610169491525</v>
      </c>
      <c r="F30" s="17" t="n">
        <f aca="false">F28*F29</f>
        <v>-0.376271186440678</v>
      </c>
      <c r="G30" s="17" t="n">
        <f aca="false">G28*G29</f>
        <v>-0.46271186440678</v>
      </c>
      <c r="H30" s="17" t="n">
        <f aca="false">H28*H29</f>
        <v>-0.610169491525424</v>
      </c>
      <c r="I30" s="18" t="n">
        <f aca="false">I28*I29</f>
        <v>-0.593220338983051</v>
      </c>
      <c r="J30" s="18" t="n">
        <f aca="false">J28*J29</f>
        <v>-0.569491525423729</v>
      </c>
      <c r="K30" s="18" t="n">
        <f aca="false">K28*K29</f>
        <v>-0.506779661016949</v>
      </c>
      <c r="L30" s="18" t="n">
        <f aca="false">L28*L29</f>
        <v>-0.474576271186441</v>
      </c>
      <c r="M30" s="18" t="n">
        <f aca="false">M28*M29</f>
        <v>-0.457627118644068</v>
      </c>
      <c r="N30" s="18" t="n">
        <f aca="false">N28*N29</f>
        <v>-0.406779661016949</v>
      </c>
    </row>
    <row r="31" customFormat="false" ht="15" hidden="false" customHeight="true" outlineLevel="0" collapsed="false">
      <c r="A31" s="38" t="s">
        <v>12</v>
      </c>
      <c r="B31" s="39" t="n">
        <f aca="false">$B$3*(1+B30)</f>
        <v>95.7</v>
      </c>
      <c r="C31" s="40" t="n">
        <f aca="false">$B$3*(1+C30)</f>
        <v>85.9677966101695</v>
      </c>
      <c r="D31" s="40" t="n">
        <f aca="false">$B$3*(1+D30)</f>
        <v>74.9379661016949</v>
      </c>
      <c r="E31" s="40" t="n">
        <f aca="false">$B$3*(1+E30)</f>
        <v>67.314406779661</v>
      </c>
      <c r="F31" s="40" t="n">
        <f aca="false">$B$3*(1+F30)</f>
        <v>59.6908474576271</v>
      </c>
      <c r="G31" s="40" t="n">
        <f aca="false">$B$3*(1+G30)</f>
        <v>51.4184745762712</v>
      </c>
      <c r="H31" s="40" t="n">
        <f aca="false">$B$3*(1+H30)</f>
        <v>37.3067796610169</v>
      </c>
      <c r="I31" s="41" t="n">
        <f aca="false">$B$3*(1+I30)</f>
        <v>38.928813559322</v>
      </c>
      <c r="J31" s="41" t="n">
        <f aca="false">$B$3*(1+J30)</f>
        <v>41.1996610169492</v>
      </c>
      <c r="K31" s="41" t="n">
        <f aca="false">$B$3*(1+K30)</f>
        <v>47.2011864406779</v>
      </c>
      <c r="L31" s="41" t="n">
        <f aca="false">$B$3*(1+L30)</f>
        <v>50.2830508474576</v>
      </c>
      <c r="M31" s="41" t="n">
        <f aca="false">$B$3*(1+M30)</f>
        <v>51.9050847457627</v>
      </c>
      <c r="N31" s="41" t="n">
        <f aca="false">$B$3*(1+N30)</f>
        <v>56.771186440678</v>
      </c>
    </row>
    <row r="32" customFormat="false" ht="15" hidden="false" customHeight="true" outlineLevel="0" collapsed="false">
      <c r="A32" s="12" t="s">
        <v>96</v>
      </c>
      <c r="B32" s="42" t="n">
        <f aca="false">B31-$B$3</f>
        <v>0</v>
      </c>
      <c r="C32" s="43" t="n">
        <f aca="false">C31-$B$3</f>
        <v>-9.73220338983052</v>
      </c>
      <c r="D32" s="43" t="n">
        <f aca="false">D31-$B$3</f>
        <v>-20.7620338983051</v>
      </c>
      <c r="E32" s="43" t="n">
        <f aca="false">E31-$B$3</f>
        <v>-28.385593220339</v>
      </c>
      <c r="F32" s="43" t="n">
        <f aca="false">F31-$B$3</f>
        <v>-36.0091525423729</v>
      </c>
      <c r="G32" s="43" t="n">
        <f aca="false">G31-$B$3</f>
        <v>-44.2815254237288</v>
      </c>
      <c r="H32" s="43" t="n">
        <f aca="false">H31-$B$3</f>
        <v>-58.3932203389831</v>
      </c>
      <c r="I32" s="44" t="n">
        <f aca="false">I31-$B$3</f>
        <v>-56.771186440678</v>
      </c>
      <c r="J32" s="44" t="n">
        <f aca="false">J31-$B$3</f>
        <v>-54.5003389830509</v>
      </c>
      <c r="K32" s="44" t="n">
        <f aca="false">K31-$B$3</f>
        <v>-48.4988135593221</v>
      </c>
      <c r="L32" s="44" t="n">
        <f aca="false">L31-$B$3</f>
        <v>-45.4169491525424</v>
      </c>
      <c r="M32" s="44" t="n">
        <f aca="false">M31-$B$3</f>
        <v>-43.7949152542373</v>
      </c>
      <c r="N32" s="44" t="n">
        <f aca="false">N31-$B$3</f>
        <v>-38.928813559322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3A047"/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5"/>
    <col collapsed="false" customWidth="true" hidden="false" outlineLevel="0" max="3" min="3" style="1" width="18"/>
  </cols>
  <sheetData>
    <row r="1" customFormat="false" ht="17.25" hidden="false" customHeight="true" outlineLevel="0" collapsed="false">
      <c r="A1" s="2" t="s">
        <v>99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100</v>
      </c>
    </row>
    <row r="4" customFormat="false" ht="15" hidden="false" customHeight="true" outlineLevel="0" collapsed="false">
      <c r="A4" s="4" t="s">
        <v>101</v>
      </c>
      <c r="B4" s="4" t="s">
        <v>3</v>
      </c>
      <c r="C4" s="4" t="s">
        <v>102</v>
      </c>
    </row>
    <row r="5" customFormat="false" ht="15" hidden="false" customHeight="true" outlineLevel="0" collapsed="false">
      <c r="A5" s="5" t="s">
        <v>103</v>
      </c>
      <c r="B5" s="11" t="n">
        <v>100000</v>
      </c>
      <c r="C5" s="5" t="s">
        <v>104</v>
      </c>
    </row>
    <row r="6" customFormat="false" ht="15" hidden="false" customHeight="true" outlineLevel="0" collapsed="false">
      <c r="A6" s="5" t="s">
        <v>105</v>
      </c>
      <c r="B6" s="9" t="n">
        <v>0.1</v>
      </c>
      <c r="C6" s="5" t="s">
        <v>106</v>
      </c>
    </row>
    <row r="7" customFormat="false" ht="15" hidden="false" customHeight="true" outlineLevel="0" collapsed="false">
      <c r="A7" s="5" t="s">
        <v>107</v>
      </c>
      <c r="B7" s="6" t="n">
        <v>95.7</v>
      </c>
      <c r="C7" s="5" t="s">
        <v>108</v>
      </c>
    </row>
    <row r="8" customFormat="false" ht="15" hidden="false" customHeight="true" outlineLevel="0" collapsed="false">
      <c r="A8" s="5" t="s">
        <v>109</v>
      </c>
      <c r="B8" s="9" t="n">
        <v>-0.15</v>
      </c>
      <c r="C8" s="5" t="s">
        <v>110</v>
      </c>
    </row>
    <row r="9" customFormat="false" ht="15" hidden="false" customHeight="true" outlineLevel="0" collapsed="false">
      <c r="A9" s="5" t="s">
        <v>111</v>
      </c>
      <c r="B9" s="46" t="n">
        <f aca="false">'COPX Returns'!H11</f>
        <v>212.486440677966</v>
      </c>
      <c r="C9" s="8" t="s">
        <v>112</v>
      </c>
    </row>
    <row r="10" customFormat="false" ht="15" hidden="false" customHeight="true" outlineLevel="0" collapsed="false">
      <c r="A10" s="5" t="s">
        <v>113</v>
      </c>
      <c r="B10" s="9" t="n">
        <v>0.045</v>
      </c>
      <c r="C10" s="5" t="s">
        <v>114</v>
      </c>
    </row>
    <row r="13" customFormat="false" ht="15" hidden="false" customHeight="true" outlineLevel="0" collapsed="false">
      <c r="A13" s="3" t="s">
        <v>115</v>
      </c>
    </row>
    <row r="14" customFormat="false" ht="15" hidden="false" customHeight="true" outlineLevel="0" collapsed="false">
      <c r="A14" s="4" t="s">
        <v>2</v>
      </c>
      <c r="B14" s="4" t="s">
        <v>116</v>
      </c>
      <c r="C14" s="4" t="s">
        <v>3</v>
      </c>
    </row>
    <row r="15" customFormat="false" ht="15" hidden="false" customHeight="true" outlineLevel="0" collapsed="false">
      <c r="A15" s="12" t="s">
        <v>117</v>
      </c>
      <c r="B15" s="8" t="s">
        <v>118</v>
      </c>
      <c r="C15" s="47" t="n">
        <f aca="false">B5*B6</f>
        <v>10000</v>
      </c>
    </row>
    <row r="16" customFormat="false" ht="15" hidden="false" customHeight="true" outlineLevel="0" collapsed="false">
      <c r="A16" s="12" t="s">
        <v>119</v>
      </c>
      <c r="B16" s="8" t="s">
        <v>120</v>
      </c>
      <c r="C16" s="48" t="n">
        <f aca="false">C15/B7</f>
        <v>104.493207941484</v>
      </c>
    </row>
    <row r="17" customFormat="false" ht="15" hidden="false" customHeight="true" outlineLevel="0" collapsed="false">
      <c r="A17" s="12" t="s">
        <v>121</v>
      </c>
      <c r="B17" s="8" t="s">
        <v>122</v>
      </c>
      <c r="C17" s="47" t="n">
        <f aca="false">B7*(1+B8)</f>
        <v>81.345</v>
      </c>
    </row>
    <row r="18" customFormat="false" ht="15" hidden="false" customHeight="true" outlineLevel="0" collapsed="false">
      <c r="A18" s="12" t="s">
        <v>123</v>
      </c>
      <c r="B18" s="8" t="s">
        <v>124</v>
      </c>
      <c r="C18" s="47" t="n">
        <f aca="false">B7-C17</f>
        <v>14.355</v>
      </c>
    </row>
    <row r="19" customFormat="false" ht="15" hidden="false" customHeight="true" outlineLevel="0" collapsed="false">
      <c r="A19" s="12" t="s">
        <v>125</v>
      </c>
      <c r="B19" s="8" t="s">
        <v>126</v>
      </c>
      <c r="C19" s="47" t="n">
        <f aca="false">C16*C18</f>
        <v>1500</v>
      </c>
    </row>
    <row r="20" customFormat="false" ht="15" hidden="false" customHeight="true" outlineLevel="0" collapsed="false">
      <c r="A20" s="12" t="s">
        <v>127</v>
      </c>
      <c r="B20" s="8" t="s">
        <v>128</v>
      </c>
      <c r="C20" s="47" t="n">
        <f aca="false">B9</f>
        <v>212.486440677966</v>
      </c>
    </row>
    <row r="21" customFormat="false" ht="15" hidden="false" customHeight="true" outlineLevel="0" collapsed="false">
      <c r="A21" s="12" t="s">
        <v>129</v>
      </c>
      <c r="B21" s="8" t="s">
        <v>130</v>
      </c>
      <c r="C21" s="47" t="n">
        <f aca="false">C20-B7</f>
        <v>116.786440677966</v>
      </c>
    </row>
    <row r="22" customFormat="false" ht="15" hidden="false" customHeight="true" outlineLevel="0" collapsed="false">
      <c r="A22" s="12" t="s">
        <v>131</v>
      </c>
      <c r="B22" s="8" t="s">
        <v>132</v>
      </c>
      <c r="C22" s="47" t="n">
        <f aca="false">C16*C21</f>
        <v>12203.3898305085</v>
      </c>
    </row>
    <row r="23" customFormat="false" ht="15" hidden="false" customHeight="true" outlineLevel="0" collapsed="false">
      <c r="A23" s="12" t="s">
        <v>133</v>
      </c>
      <c r="B23" s="8" t="s">
        <v>134</v>
      </c>
      <c r="C23" s="49" t="n">
        <f aca="false">C22/C19</f>
        <v>8.13559322033898</v>
      </c>
    </row>
    <row r="24" customFormat="false" ht="15" hidden="false" customHeight="true" outlineLevel="0" collapsed="false">
      <c r="A24" s="12" t="s">
        <v>135</v>
      </c>
      <c r="B24" s="8" t="s">
        <v>136</v>
      </c>
      <c r="C24" s="50" t="n">
        <f aca="false">1/2.8</f>
        <v>0.357142857142857</v>
      </c>
    </row>
    <row r="25" customFormat="false" ht="15" hidden="false" customHeight="true" outlineLevel="0" collapsed="false">
      <c r="A25" s="12" t="s">
        <v>137</v>
      </c>
      <c r="B25" s="8" t="s">
        <v>138</v>
      </c>
      <c r="C25" s="47" t="n">
        <f aca="false">C19</f>
        <v>1500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A825"/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25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2" t="s">
        <v>139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140</v>
      </c>
      <c r="F3" s="51" t="n">
        <f aca="false">'COPX Returns'!B3</f>
        <v>95.7</v>
      </c>
      <c r="G3" s="52" t="s">
        <v>141</v>
      </c>
    </row>
    <row r="4" customFormat="false" ht="15" hidden="false" customHeight="true" outlineLevel="0" collapsed="false">
      <c r="A4" s="4"/>
      <c r="B4" s="4" t="s">
        <v>142</v>
      </c>
      <c r="C4" s="4" t="s">
        <v>143</v>
      </c>
      <c r="D4" s="4" t="s">
        <v>144</v>
      </c>
      <c r="E4" s="4" t="s">
        <v>145</v>
      </c>
      <c r="F4" s="4" t="s">
        <v>146</v>
      </c>
      <c r="G4" s="4" t="s">
        <v>147</v>
      </c>
    </row>
    <row r="5" customFormat="false" ht="15" hidden="false" customHeight="true" outlineLevel="0" collapsed="false">
      <c r="A5" s="53" t="s">
        <v>148</v>
      </c>
      <c r="B5" s="50" t="n">
        <f aca="false">'COPX Returns'!E10</f>
        <v>0.415254237288135</v>
      </c>
      <c r="C5" s="50" t="n">
        <f aca="false">'COPX Returns'!H10</f>
        <v>1.22033898305085</v>
      </c>
      <c r="D5" s="50" t="n">
        <f aca="false">'COPX Returns'!K10</f>
        <v>0.389830508474576</v>
      </c>
      <c r="E5" s="50" t="n">
        <f aca="false">'COPX Returns'!N10</f>
        <v>0.101694915254237</v>
      </c>
      <c r="F5" s="47" t="n">
        <f aca="false">MAX('COPX Returns'!B11:N11)</f>
        <v>212.486440677966</v>
      </c>
      <c r="G5" s="50" t="n">
        <f aca="false">(F5-'COPX Returns'!B3)/'COPX Returns'!B3</f>
        <v>1.22033898305085</v>
      </c>
    </row>
    <row r="6" customFormat="false" ht="15" hidden="false" customHeight="true" outlineLevel="0" collapsed="false">
      <c r="A6" s="53" t="s">
        <v>149</v>
      </c>
      <c r="B6" s="50" t="n">
        <f aca="false">'COPX Returns'!E20</f>
        <v>0.11864406779661</v>
      </c>
      <c r="C6" s="50" t="n">
        <f aca="false">'COPX Returns'!H20</f>
        <v>0.266949152542373</v>
      </c>
      <c r="D6" s="50" t="n">
        <f aca="false">'COPX Returns'!K20</f>
        <v>-0.0194915254237291</v>
      </c>
      <c r="E6" s="50" t="n">
        <f aca="false">'COPX Returns'!N20</f>
        <v>-0.0889830508474578</v>
      </c>
      <c r="F6" s="47" t="n">
        <f aca="false">MAX('COPX Returns'!B21:N21)</f>
        <v>121.247033898305</v>
      </c>
      <c r="G6" s="50" t="n">
        <f aca="false">(F6-'COPX Returns'!B3)/'COPX Returns'!B3</f>
        <v>0.266949152542373</v>
      </c>
    </row>
    <row r="7" customFormat="false" ht="15" hidden="false" customHeight="true" outlineLevel="0" collapsed="false">
      <c r="A7" s="53" t="s">
        <v>150</v>
      </c>
      <c r="B7" s="50" t="n">
        <f aca="false">'COPX Returns'!E30</f>
        <v>-0.296610169491525</v>
      </c>
      <c r="C7" s="50" t="n">
        <f aca="false">'COPX Returns'!H30</f>
        <v>-0.610169491525424</v>
      </c>
      <c r="D7" s="50" t="n">
        <f aca="false">'COPX Returns'!K30</f>
        <v>-0.506779661016949</v>
      </c>
      <c r="E7" s="50" t="n">
        <f aca="false">'COPX Returns'!N30</f>
        <v>-0.406779661016949</v>
      </c>
      <c r="F7" s="47" t="n">
        <f aca="false">MAX('COPX Returns'!B31:N31)</f>
        <v>95.7</v>
      </c>
      <c r="G7" s="50" t="n">
        <f aca="false">(F7-'COPX Returns'!B3)/'COPX Returns'!B3</f>
        <v>0</v>
      </c>
    </row>
    <row r="10" customFormat="false" ht="15" hidden="false" customHeight="true" outlineLevel="0" collapsed="false">
      <c r="A10" s="3" t="s">
        <v>151</v>
      </c>
    </row>
    <row r="11" customFormat="false" ht="15" hidden="false" customHeight="true" outlineLevel="0" collapsed="false">
      <c r="A11" s="4" t="s">
        <v>152</v>
      </c>
      <c r="B11" s="4" t="s">
        <v>153</v>
      </c>
      <c r="C11" s="4" t="s">
        <v>154</v>
      </c>
      <c r="D11" s="4" t="s">
        <v>155</v>
      </c>
    </row>
    <row r="12" customFormat="false" ht="15" hidden="false" customHeight="true" outlineLevel="0" collapsed="false">
      <c r="A12" s="12" t="s">
        <v>156</v>
      </c>
      <c r="B12" s="5" t="s">
        <v>157</v>
      </c>
      <c r="C12" s="5" t="s">
        <v>158</v>
      </c>
      <c r="D12" s="46" t="n">
        <f aca="false">'COPX Returns'!E11</f>
        <v>135.439830508475</v>
      </c>
    </row>
    <row r="13" customFormat="false" ht="15" hidden="false" customHeight="true" outlineLevel="0" collapsed="false">
      <c r="A13" s="12" t="s">
        <v>159</v>
      </c>
      <c r="B13" s="5" t="s">
        <v>160</v>
      </c>
      <c r="C13" s="5" t="s">
        <v>161</v>
      </c>
      <c r="D13" s="46" t="n">
        <f aca="false">'COPX Returns'!H11</f>
        <v>212.486440677966</v>
      </c>
    </row>
    <row r="14" customFormat="false" ht="15" hidden="false" customHeight="true" outlineLevel="0" collapsed="false">
      <c r="A14" s="12" t="s">
        <v>162</v>
      </c>
      <c r="B14" s="5" t="s">
        <v>163</v>
      </c>
      <c r="C14" s="5" t="s">
        <v>164</v>
      </c>
      <c r="D14" s="46" t="n">
        <f aca="false">'COPX Returns'!H11</f>
        <v>212.486440677966</v>
      </c>
    </row>
    <row r="15" customFormat="false" ht="15" hidden="false" customHeight="true" outlineLevel="0" collapsed="false">
      <c r="A15" s="12" t="s">
        <v>165</v>
      </c>
      <c r="B15" s="5" t="s">
        <v>166</v>
      </c>
      <c r="C15" s="5" t="s">
        <v>167</v>
      </c>
      <c r="D15" s="46" t="n">
        <f aca="false">'COPX Returns'!K11</f>
        <v>133.006779661017</v>
      </c>
    </row>
    <row r="16" customFormat="false" ht="15" hidden="false" customHeight="true" outlineLevel="0" collapsed="false">
      <c r="A16" s="12" t="s">
        <v>168</v>
      </c>
      <c r="B16" s="5" t="s">
        <v>169</v>
      </c>
      <c r="C16" s="5" t="s">
        <v>170</v>
      </c>
      <c r="D16" s="46" t="n">
        <f aca="false">'COPX Returns'!H29</f>
        <v>4.5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FA2"/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9" min="2" style="1" width="13"/>
  </cols>
  <sheetData>
    <row r="1" customFormat="false" ht="17.25" hidden="false" customHeight="true" outlineLevel="0" collapsed="false">
      <c r="A1" s="2" t="s">
        <v>171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172</v>
      </c>
    </row>
    <row r="4" customFormat="false" ht="15" hidden="false" customHeight="true" outlineLevel="0" collapsed="false">
      <c r="A4" s="54" t="s">
        <v>173</v>
      </c>
    </row>
    <row r="5" customFormat="false" ht="15" hidden="false" customHeight="true" outlineLevel="0" collapsed="false">
      <c r="A5" s="4" t="s">
        <v>93</v>
      </c>
      <c r="B5" s="4" t="s">
        <v>174</v>
      </c>
      <c r="C5" s="4" t="s">
        <v>175</v>
      </c>
      <c r="D5" s="4" t="s">
        <v>176</v>
      </c>
      <c r="E5" s="4" t="s">
        <v>177</v>
      </c>
      <c r="F5" s="4" t="s">
        <v>178</v>
      </c>
      <c r="G5" s="4" t="s">
        <v>179</v>
      </c>
      <c r="H5" s="4" t="s">
        <v>180</v>
      </c>
      <c r="I5" s="4" t="s">
        <v>181</v>
      </c>
    </row>
    <row r="6" customFormat="false" ht="15" hidden="false" customHeight="true" outlineLevel="0" collapsed="false">
      <c r="A6" s="6" t="n">
        <v>4.5</v>
      </c>
      <c r="B6" s="47" t="n">
        <f aca="false">95.7*(1+(($A6-5.9)/5.9)*1.5)</f>
        <v>61.6372881355932</v>
      </c>
      <c r="C6" s="47" t="n">
        <f aca="false">95.7*(1+(($A6-5.9)/5.9)*2)</f>
        <v>50.2830508474576</v>
      </c>
      <c r="D6" s="47" t="n">
        <f aca="false">95.7*(1+(($A6-5.9)/5.9)*2.5)</f>
        <v>38.928813559322</v>
      </c>
      <c r="E6" s="47" t="n">
        <f aca="false">95.7*(1+(($A6-5.9)/5.9)*2.8)</f>
        <v>32.1162711864407</v>
      </c>
      <c r="F6" s="47" t="n">
        <f aca="false">95.7*(1+(($A6-5.9)/5.9)*3.2)</f>
        <v>23.0328813559322</v>
      </c>
      <c r="G6" s="47" t="n">
        <f aca="false">95.7*(1+(($A6-5.9)/5.9)*3.8)</f>
        <v>9.40779661016948</v>
      </c>
      <c r="H6" s="47" t="n">
        <f aca="false">95.7*(1+(($A6-5.9)/5.9)*4.5)</f>
        <v>-6.48813559322036</v>
      </c>
      <c r="I6" s="47" t="n">
        <f aca="false">95.7*(1+(($A6-5.9)/5.9)*5)</f>
        <v>-17.842372881356</v>
      </c>
    </row>
    <row r="7" customFormat="false" ht="15" hidden="false" customHeight="true" outlineLevel="0" collapsed="false">
      <c r="A7" s="6" t="n">
        <v>5</v>
      </c>
      <c r="B7" s="47" t="n">
        <f aca="false">95.7*(1+(($A7-5.9)/5.9)*1.5)</f>
        <v>73.8025423728814</v>
      </c>
      <c r="C7" s="47" t="n">
        <f aca="false">95.7*(1+(($A7-5.9)/5.9)*2)</f>
        <v>66.5033898305085</v>
      </c>
      <c r="D7" s="47" t="n">
        <f aca="false">95.7*(1+(($A7-5.9)/5.9)*2.5)</f>
        <v>59.2042372881356</v>
      </c>
      <c r="E7" s="47" t="n">
        <f aca="false">95.7*(1+(($A7-5.9)/5.9)*2.8)</f>
        <v>54.8247457627119</v>
      </c>
      <c r="F7" s="47" t="n">
        <f aca="false">95.7*(1+(($A7-5.9)/5.9)*3.2)</f>
        <v>48.9854237288136</v>
      </c>
      <c r="G7" s="47" t="n">
        <f aca="false">95.7*(1+(($A7-5.9)/5.9)*3.8)</f>
        <v>40.2264406779661</v>
      </c>
      <c r="H7" s="47" t="n">
        <f aca="false">95.7*(1+(($A7-5.9)/5.9)*4.5)</f>
        <v>30.0076271186441</v>
      </c>
      <c r="I7" s="47" t="n">
        <f aca="false">95.7*(1+(($A7-5.9)/5.9)*5)</f>
        <v>22.7084745762712</v>
      </c>
    </row>
    <row r="8" customFormat="false" ht="15" hidden="false" customHeight="true" outlineLevel="0" collapsed="false">
      <c r="A8" s="6" t="n">
        <v>5.2</v>
      </c>
      <c r="B8" s="47" t="n">
        <f aca="false">95.7*(1+(($A8-5.9)/5.9)*1.5)</f>
        <v>78.6686440677966</v>
      </c>
      <c r="C8" s="47" t="n">
        <f aca="false">95.7*(1+(($A8-5.9)/5.9)*2)</f>
        <v>72.9915254237288</v>
      </c>
      <c r="D8" s="47" t="n">
        <f aca="false">95.7*(1+(($A8-5.9)/5.9)*2.5)</f>
        <v>67.314406779661</v>
      </c>
      <c r="E8" s="47" t="n">
        <f aca="false">95.7*(1+(($A8-5.9)/5.9)*2.8)</f>
        <v>63.9081355932203</v>
      </c>
      <c r="F8" s="47" t="n">
        <f aca="false">95.7*(1+(($A8-5.9)/5.9)*3.2)</f>
        <v>59.3664406779661</v>
      </c>
      <c r="G8" s="47" t="n">
        <f aca="false">95.7*(1+(($A8-5.9)/5.9)*3.8)</f>
        <v>52.5538983050848</v>
      </c>
      <c r="H8" s="47" t="n">
        <f aca="false">95.7*(1+(($A8-5.9)/5.9)*4.5)</f>
        <v>44.6059322033898</v>
      </c>
      <c r="I8" s="47" t="n">
        <f aca="false">95.7*(1+(($A8-5.9)/5.9)*5)</f>
        <v>38.928813559322</v>
      </c>
    </row>
    <row r="9" customFormat="false" ht="15" hidden="false" customHeight="true" outlineLevel="0" collapsed="false">
      <c r="A9" s="6" t="n">
        <v>5.5</v>
      </c>
      <c r="B9" s="47" t="n">
        <f aca="false">95.7*(1+(($A9-5.9)/5.9)*1.5)</f>
        <v>85.9677966101695</v>
      </c>
      <c r="C9" s="47" t="n">
        <f aca="false">95.7*(1+(($A9-5.9)/5.9)*2)</f>
        <v>82.7237288135593</v>
      </c>
      <c r="D9" s="47" t="n">
        <f aca="false">95.7*(1+(($A9-5.9)/5.9)*2.5)</f>
        <v>79.4796610169492</v>
      </c>
      <c r="E9" s="47" t="n">
        <f aca="false">95.7*(1+(($A9-5.9)/5.9)*2.8)</f>
        <v>77.533220338983</v>
      </c>
      <c r="F9" s="47" t="n">
        <f aca="false">95.7*(1+(($A9-5.9)/5.9)*3.2)</f>
        <v>74.9379661016949</v>
      </c>
      <c r="G9" s="47" t="n">
        <f aca="false">95.7*(1+(($A9-5.9)/5.9)*3.8)</f>
        <v>71.0450847457627</v>
      </c>
      <c r="H9" s="47" t="n">
        <f aca="false">95.7*(1+(($A9-5.9)/5.9)*4.5)</f>
        <v>66.5033898305085</v>
      </c>
      <c r="I9" s="47" t="n">
        <f aca="false">95.7*(1+(($A9-5.9)/5.9)*5)</f>
        <v>63.2593220338983</v>
      </c>
    </row>
    <row r="10" customFormat="false" ht="15" hidden="false" customHeight="true" outlineLevel="0" collapsed="false">
      <c r="A10" s="13" t="n">
        <v>5.9</v>
      </c>
      <c r="B10" s="55" t="n">
        <f aca="false">95.7*(1+(($A10-5.9)/5.9)*1.5)</f>
        <v>95.7</v>
      </c>
      <c r="C10" s="55" t="n">
        <f aca="false">95.7*(1+(($A10-5.9)/5.9)*2)</f>
        <v>95.7</v>
      </c>
      <c r="D10" s="55" t="n">
        <f aca="false">95.7*(1+(($A10-5.9)/5.9)*2.5)</f>
        <v>95.7</v>
      </c>
      <c r="E10" s="55" t="n">
        <f aca="false">95.7*(1+(($A10-5.9)/5.9)*2.8)</f>
        <v>95.7</v>
      </c>
      <c r="F10" s="55" t="n">
        <f aca="false">95.7*(1+(($A10-5.9)/5.9)*3.2)</f>
        <v>95.7</v>
      </c>
      <c r="G10" s="55" t="n">
        <f aca="false">95.7*(1+(($A10-5.9)/5.9)*3.8)</f>
        <v>95.7</v>
      </c>
      <c r="H10" s="55" t="n">
        <f aca="false">95.7*(1+(($A10-5.9)/5.9)*4.5)</f>
        <v>95.7</v>
      </c>
      <c r="I10" s="55" t="n">
        <f aca="false">95.7*(1+(($A10-5.9)/5.9)*5)</f>
        <v>95.7</v>
      </c>
    </row>
    <row r="11" customFormat="false" ht="15" hidden="false" customHeight="true" outlineLevel="0" collapsed="false">
      <c r="A11" s="6" t="n">
        <v>6.25</v>
      </c>
      <c r="B11" s="47" t="n">
        <f aca="false">95.7*(1+(($A11-5.9)/5.9)*1.5)</f>
        <v>104.215677966102</v>
      </c>
      <c r="C11" s="47" t="n">
        <f aca="false">95.7*(1+(($A11-5.9)/5.9)*2)</f>
        <v>107.054237288136</v>
      </c>
      <c r="D11" s="47" t="n">
        <f aca="false">95.7*(1+(($A11-5.9)/5.9)*2.5)</f>
        <v>109.892796610169</v>
      </c>
      <c r="E11" s="47" t="n">
        <f aca="false">95.7*(1+(($A11-5.9)/5.9)*2.8)</f>
        <v>111.59593220339</v>
      </c>
      <c r="F11" s="47" t="n">
        <f aca="false">95.7*(1+(($A11-5.9)/5.9)*3.2)</f>
        <v>113.866779661017</v>
      </c>
      <c r="G11" s="47" t="n">
        <f aca="false">95.7*(1+(($A11-5.9)/5.9)*3.8)</f>
        <v>117.273050847458</v>
      </c>
      <c r="H11" s="47" t="n">
        <f aca="false">95.7*(1+(($A11-5.9)/5.9)*4.5)</f>
        <v>121.247033898305</v>
      </c>
      <c r="I11" s="47" t="n">
        <f aca="false">95.7*(1+(($A11-5.9)/5.9)*5)</f>
        <v>124.085593220339</v>
      </c>
    </row>
    <row r="12" customFormat="false" ht="15" hidden="false" customHeight="true" outlineLevel="0" collapsed="false">
      <c r="A12" s="6" t="n">
        <v>6.6</v>
      </c>
      <c r="B12" s="47" t="n">
        <f aca="false">95.7*(1+(($A12-5.9)/5.9)*1.5)</f>
        <v>112.731355932203</v>
      </c>
      <c r="C12" s="47" t="n">
        <f aca="false">95.7*(1+(($A12-5.9)/5.9)*2)</f>
        <v>118.408474576271</v>
      </c>
      <c r="D12" s="47" t="n">
        <f aca="false">95.7*(1+(($A12-5.9)/5.9)*2.5)</f>
        <v>124.085593220339</v>
      </c>
      <c r="E12" s="47" t="n">
        <f aca="false">95.7*(1+(($A12-5.9)/5.9)*2.8)</f>
        <v>127.49186440678</v>
      </c>
      <c r="F12" s="47" t="n">
        <f aca="false">95.7*(1+(($A12-5.9)/5.9)*3.2)</f>
        <v>132.033559322034</v>
      </c>
      <c r="G12" s="47" t="n">
        <f aca="false">95.7*(1+(($A12-5.9)/5.9)*3.8)</f>
        <v>138.846101694915</v>
      </c>
      <c r="H12" s="47" t="n">
        <f aca="false">95.7*(1+(($A12-5.9)/5.9)*4.5)</f>
        <v>146.79406779661</v>
      </c>
      <c r="I12" s="47" t="n">
        <f aca="false">95.7*(1+(($A12-5.9)/5.9)*5)</f>
        <v>152.471186440678</v>
      </c>
    </row>
    <row r="13" customFormat="false" ht="15" hidden="false" customHeight="true" outlineLevel="0" collapsed="false">
      <c r="A13" s="6" t="n">
        <v>7</v>
      </c>
      <c r="B13" s="47" t="n">
        <f aca="false">95.7*(1+(($A13-5.9)/5.9)*1.5)</f>
        <v>122.463559322034</v>
      </c>
      <c r="C13" s="47" t="n">
        <f aca="false">95.7*(1+(($A13-5.9)/5.9)*2)</f>
        <v>131.384745762712</v>
      </c>
      <c r="D13" s="47" t="n">
        <f aca="false">95.7*(1+(($A13-5.9)/5.9)*2.5)</f>
        <v>140.30593220339</v>
      </c>
      <c r="E13" s="47" t="n">
        <f aca="false">95.7*(1+(($A13-5.9)/5.9)*2.8)</f>
        <v>145.658644067797</v>
      </c>
      <c r="F13" s="47" t="n">
        <f aca="false">95.7*(1+(($A13-5.9)/5.9)*3.2)</f>
        <v>152.795593220339</v>
      </c>
      <c r="G13" s="47" t="n">
        <f aca="false">95.7*(1+(($A13-5.9)/5.9)*3.8)</f>
        <v>163.501016949153</v>
      </c>
      <c r="H13" s="47" t="n">
        <f aca="false">95.7*(1+(($A13-5.9)/5.9)*4.5)</f>
        <v>175.990677966102</v>
      </c>
      <c r="I13" s="47" t="n">
        <f aca="false">95.7*(1+(($A13-5.9)/5.9)*5)</f>
        <v>184.91186440678</v>
      </c>
    </row>
    <row r="14" customFormat="false" ht="15" hidden="false" customHeight="true" outlineLevel="0" collapsed="false">
      <c r="A14" s="6" t="n">
        <v>7.5</v>
      </c>
      <c r="B14" s="47" t="n">
        <f aca="false">95.7*(1+(($A14-5.9)/5.9)*1.5)</f>
        <v>134.628813559322</v>
      </c>
      <c r="C14" s="47" t="n">
        <f aca="false">95.7*(1+(($A14-5.9)/5.9)*2)</f>
        <v>147.605084745763</v>
      </c>
      <c r="D14" s="47" t="n">
        <f aca="false">95.7*(1+(($A14-5.9)/5.9)*2.5)</f>
        <v>160.581355932203</v>
      </c>
      <c r="E14" s="47" t="n">
        <f aca="false">95.7*(1+(($A14-5.9)/5.9)*2.8)</f>
        <v>168.367118644068</v>
      </c>
      <c r="F14" s="47" t="n">
        <f aca="false">95.7*(1+(($A14-5.9)/5.9)*3.2)</f>
        <v>178.74813559322</v>
      </c>
      <c r="G14" s="47" t="n">
        <f aca="false">95.7*(1+(($A14-5.9)/5.9)*3.8)</f>
        <v>194.319661016949</v>
      </c>
      <c r="H14" s="47" t="n">
        <f aca="false">95.7*(1+(($A14-5.9)/5.9)*4.5)</f>
        <v>212.486440677966</v>
      </c>
      <c r="I14" s="47" t="n">
        <f aca="false">95.7*(1+(($A14-5.9)/5.9)*5)</f>
        <v>225.462711864407</v>
      </c>
    </row>
    <row r="15" customFormat="false" ht="15" hidden="false" customHeight="true" outlineLevel="0" collapsed="false">
      <c r="A15" s="6" t="n">
        <v>8</v>
      </c>
      <c r="B15" s="47" t="n">
        <f aca="false">95.7*(1+(($A15-5.9)/5.9)*1.5)</f>
        <v>146.79406779661</v>
      </c>
      <c r="C15" s="47" t="n">
        <f aca="false">95.7*(1+(($A15-5.9)/5.9)*2)</f>
        <v>163.825423728814</v>
      </c>
      <c r="D15" s="47" t="n">
        <f aca="false">95.7*(1+(($A15-5.9)/5.9)*2.5)</f>
        <v>180.856779661017</v>
      </c>
      <c r="E15" s="47" t="n">
        <f aca="false">95.7*(1+(($A15-5.9)/5.9)*2.8)</f>
        <v>191.075593220339</v>
      </c>
      <c r="F15" s="47" t="n">
        <f aca="false">95.7*(1+(($A15-5.9)/5.9)*3.2)</f>
        <v>204.700677966102</v>
      </c>
      <c r="G15" s="47" t="n">
        <f aca="false">95.7*(1+(($A15-5.9)/5.9)*3.8)</f>
        <v>225.138305084746</v>
      </c>
      <c r="H15" s="47" t="n">
        <f aca="false">95.7*(1+(($A15-5.9)/5.9)*4.5)</f>
        <v>248.982203389831</v>
      </c>
      <c r="I15" s="47" t="n">
        <f aca="false">95.7*(1+(($A15-5.9)/5.9)*5)</f>
        <v>266.013559322034</v>
      </c>
    </row>
    <row r="17" customFormat="false" ht="15" hidden="false" customHeight="true" outlineLevel="0" collapsed="false">
      <c r="A17" s="3" t="s">
        <v>182</v>
      </c>
    </row>
    <row r="18" customFormat="false" ht="15" hidden="false" customHeight="true" outlineLevel="0" collapsed="false">
      <c r="A18" s="4" t="s">
        <v>93</v>
      </c>
      <c r="B18" s="4" t="s">
        <v>174</v>
      </c>
      <c r="C18" s="4" t="s">
        <v>175</v>
      </c>
      <c r="D18" s="4" t="s">
        <v>176</v>
      </c>
      <c r="E18" s="4" t="s">
        <v>177</v>
      </c>
      <c r="F18" s="4" t="s">
        <v>178</v>
      </c>
      <c r="G18" s="4" t="s">
        <v>179</v>
      </c>
      <c r="H18" s="4" t="s">
        <v>180</v>
      </c>
      <c r="I18" s="4" t="s">
        <v>181</v>
      </c>
    </row>
    <row r="19" customFormat="false" ht="15" hidden="false" customHeight="true" outlineLevel="0" collapsed="false">
      <c r="A19" s="6" t="n">
        <v>4.5</v>
      </c>
      <c r="B19" s="56" t="n">
        <f aca="false">(B6/95.7)-1</f>
        <v>-0.355932203389831</v>
      </c>
      <c r="C19" s="56" t="n">
        <f aca="false">(C6/95.7)-1</f>
        <v>-0.474576271186441</v>
      </c>
      <c r="D19" s="56" t="n">
        <f aca="false">(D6/95.7)-1</f>
        <v>-0.593220338983051</v>
      </c>
      <c r="E19" s="56" t="n">
        <f aca="false">(E6/95.7)-1</f>
        <v>-0.664406779661017</v>
      </c>
      <c r="F19" s="56" t="n">
        <f aca="false">(F6/95.7)-1</f>
        <v>-0.759322033898305</v>
      </c>
      <c r="G19" s="56" t="n">
        <f aca="false">(G6/95.7)-1</f>
        <v>-0.901694915254237</v>
      </c>
      <c r="H19" s="56" t="n">
        <f aca="false">(H6/95.7)-1</f>
        <v>-1.06779661016949</v>
      </c>
      <c r="I19" s="56" t="n">
        <f aca="false">(I6/95.7)-1</f>
        <v>-1.1864406779661</v>
      </c>
    </row>
    <row r="20" customFormat="false" ht="15" hidden="false" customHeight="true" outlineLevel="0" collapsed="false">
      <c r="A20" s="6" t="n">
        <v>5</v>
      </c>
      <c r="B20" s="56" t="n">
        <f aca="false">(B7/95.7)-1</f>
        <v>-0.228813559322034</v>
      </c>
      <c r="C20" s="56" t="n">
        <f aca="false">(C7/95.7)-1</f>
        <v>-0.305084745762712</v>
      </c>
      <c r="D20" s="56" t="n">
        <f aca="false">(D7/95.7)-1</f>
        <v>-0.38135593220339</v>
      </c>
      <c r="E20" s="56" t="n">
        <f aca="false">(E7/95.7)-1</f>
        <v>-0.427118644067797</v>
      </c>
      <c r="F20" s="56" t="n">
        <f aca="false">(F7/95.7)-1</f>
        <v>-0.488135593220339</v>
      </c>
      <c r="G20" s="56" t="n">
        <f aca="false">(G7/95.7)-1</f>
        <v>-0.579661016949153</v>
      </c>
      <c r="H20" s="56" t="n">
        <f aca="false">(H7/95.7)-1</f>
        <v>-0.686440677966102</v>
      </c>
      <c r="I20" s="56" t="n">
        <f aca="false">(I7/95.7)-1</f>
        <v>-0.76271186440678</v>
      </c>
    </row>
    <row r="21" customFormat="false" ht="15" hidden="false" customHeight="true" outlineLevel="0" collapsed="false">
      <c r="A21" s="6" t="n">
        <v>5.2</v>
      </c>
      <c r="B21" s="56" t="n">
        <f aca="false">(B8/95.7)-1</f>
        <v>-0.177966101694915</v>
      </c>
      <c r="C21" s="56" t="n">
        <f aca="false">(C8/95.7)-1</f>
        <v>-0.23728813559322</v>
      </c>
      <c r="D21" s="56" t="n">
        <f aca="false">(D8/95.7)-1</f>
        <v>-0.296610169491526</v>
      </c>
      <c r="E21" s="56" t="n">
        <f aca="false">(E8/95.7)-1</f>
        <v>-0.332203389830509</v>
      </c>
      <c r="F21" s="56" t="n">
        <f aca="false">(F8/95.7)-1</f>
        <v>-0.379661016949153</v>
      </c>
      <c r="G21" s="56" t="n">
        <f aca="false">(G8/95.7)-1</f>
        <v>-0.450847457627119</v>
      </c>
      <c r="H21" s="56" t="n">
        <f aca="false">(H8/95.7)-1</f>
        <v>-0.533898305084746</v>
      </c>
      <c r="I21" s="56" t="n">
        <f aca="false">(I8/95.7)-1</f>
        <v>-0.593220338983051</v>
      </c>
    </row>
    <row r="22" customFormat="false" ht="15" hidden="false" customHeight="true" outlineLevel="0" collapsed="false">
      <c r="A22" s="6" t="n">
        <v>5.5</v>
      </c>
      <c r="B22" s="56" t="n">
        <f aca="false">(B9/95.7)-1</f>
        <v>-0.101694915254237</v>
      </c>
      <c r="C22" s="56" t="n">
        <f aca="false">(C9/95.7)-1</f>
        <v>-0.135593220338983</v>
      </c>
      <c r="D22" s="56" t="n">
        <f aca="false">(D9/95.7)-1</f>
        <v>-0.169491525423729</v>
      </c>
      <c r="E22" s="56" t="n">
        <f aca="false">(E9/95.7)-1</f>
        <v>-0.189830508474576</v>
      </c>
      <c r="F22" s="56" t="n">
        <f aca="false">(F9/95.7)-1</f>
        <v>-0.216949152542373</v>
      </c>
      <c r="G22" s="56" t="n">
        <f aca="false">(G9/95.7)-1</f>
        <v>-0.257627118644068</v>
      </c>
      <c r="H22" s="56" t="n">
        <f aca="false">(H9/95.7)-1</f>
        <v>-0.305084745762712</v>
      </c>
      <c r="I22" s="56" t="n">
        <f aca="false">(I9/95.7)-1</f>
        <v>-0.338983050847458</v>
      </c>
    </row>
    <row r="23" customFormat="false" ht="15" hidden="false" customHeight="true" outlineLevel="0" collapsed="false">
      <c r="A23" s="13" t="n">
        <v>5.9</v>
      </c>
      <c r="B23" s="57" t="n">
        <f aca="false">(B10/95.7)-1</f>
        <v>0</v>
      </c>
      <c r="C23" s="57" t="n">
        <f aca="false">(C10/95.7)-1</f>
        <v>0</v>
      </c>
      <c r="D23" s="57" t="n">
        <f aca="false">(D10/95.7)-1</f>
        <v>0</v>
      </c>
      <c r="E23" s="57" t="n">
        <f aca="false">(E10/95.7)-1</f>
        <v>0</v>
      </c>
      <c r="F23" s="57" t="n">
        <f aca="false">(F10/95.7)-1</f>
        <v>0</v>
      </c>
      <c r="G23" s="57" t="n">
        <f aca="false">(G10/95.7)-1</f>
        <v>0</v>
      </c>
      <c r="H23" s="57" t="n">
        <f aca="false">(H10/95.7)-1</f>
        <v>0</v>
      </c>
      <c r="I23" s="57" t="n">
        <f aca="false">(I10/95.7)-1</f>
        <v>0</v>
      </c>
    </row>
    <row r="24" customFormat="false" ht="15" hidden="false" customHeight="true" outlineLevel="0" collapsed="false">
      <c r="A24" s="6" t="n">
        <v>6.25</v>
      </c>
      <c r="B24" s="56" t="n">
        <f aca="false">(B11/95.7)-1</f>
        <v>0.0889830508474576</v>
      </c>
      <c r="C24" s="56" t="n">
        <f aca="false">(C11/95.7)-1</f>
        <v>0.11864406779661</v>
      </c>
      <c r="D24" s="56" t="n">
        <f aca="false">(D11/95.7)-1</f>
        <v>0.148305084745763</v>
      </c>
      <c r="E24" s="56" t="n">
        <f aca="false">(E11/95.7)-1</f>
        <v>0.166101694915254</v>
      </c>
      <c r="F24" s="56" t="n">
        <f aca="false">(F11/95.7)-1</f>
        <v>0.189830508474576</v>
      </c>
      <c r="G24" s="56" t="n">
        <f aca="false">(G11/95.7)-1</f>
        <v>0.225423728813559</v>
      </c>
      <c r="H24" s="56" t="n">
        <f aca="false">(H11/95.7)-1</f>
        <v>0.266949152542373</v>
      </c>
      <c r="I24" s="56" t="n">
        <f aca="false">(I11/95.7)-1</f>
        <v>0.296610169491525</v>
      </c>
    </row>
    <row r="25" customFormat="false" ht="15" hidden="false" customHeight="true" outlineLevel="0" collapsed="false">
      <c r="A25" s="6" t="n">
        <v>6.6</v>
      </c>
      <c r="B25" s="56" t="n">
        <f aca="false">(B12/95.7)-1</f>
        <v>0.177966101694915</v>
      </c>
      <c r="C25" s="56" t="n">
        <f aca="false">(C12/95.7)-1</f>
        <v>0.23728813559322</v>
      </c>
      <c r="D25" s="56" t="n">
        <f aca="false">(D12/95.7)-1</f>
        <v>0.296610169491525</v>
      </c>
      <c r="E25" s="56" t="n">
        <f aca="false">(E12/95.7)-1</f>
        <v>0.332203389830508</v>
      </c>
      <c r="F25" s="56" t="n">
        <f aca="false">(F12/95.7)-1</f>
        <v>0.379661016949152</v>
      </c>
      <c r="G25" s="56" t="n">
        <f aca="false">(G12/95.7)-1</f>
        <v>0.450847457627118</v>
      </c>
      <c r="H25" s="56" t="n">
        <f aca="false">(H12/95.7)-1</f>
        <v>0.533898305084746</v>
      </c>
      <c r="I25" s="56" t="n">
        <f aca="false">(I12/95.7)-1</f>
        <v>0.59322033898305</v>
      </c>
    </row>
    <row r="26" customFormat="false" ht="15" hidden="false" customHeight="true" outlineLevel="0" collapsed="false">
      <c r="A26" s="6" t="n">
        <v>7</v>
      </c>
      <c r="B26" s="56" t="n">
        <f aca="false">(B13/95.7)-1</f>
        <v>0.279661016949152</v>
      </c>
      <c r="C26" s="56" t="n">
        <f aca="false">(C13/95.7)-1</f>
        <v>0.372881355932203</v>
      </c>
      <c r="D26" s="56" t="n">
        <f aca="false">(D13/95.7)-1</f>
        <v>0.466101694915254</v>
      </c>
      <c r="E26" s="56" t="n">
        <f aca="false">(E13/95.7)-1</f>
        <v>0.522033898305085</v>
      </c>
      <c r="F26" s="56" t="n">
        <f aca="false">(F13/95.7)-1</f>
        <v>0.596610169491525</v>
      </c>
      <c r="G26" s="56" t="n">
        <f aca="false">(G13/95.7)-1</f>
        <v>0.708474576271186</v>
      </c>
      <c r="H26" s="56" t="n">
        <f aca="false">(H13/95.7)-1</f>
        <v>0.838983050847457</v>
      </c>
      <c r="I26" s="56" t="n">
        <f aca="false">(I13/95.7)-1</f>
        <v>0.932203389830508</v>
      </c>
    </row>
    <row r="27" customFormat="false" ht="15" hidden="false" customHeight="true" outlineLevel="0" collapsed="false">
      <c r="A27" s="6" t="n">
        <v>7.5</v>
      </c>
      <c r="B27" s="56" t="n">
        <f aca="false">(B14/95.7)-1</f>
        <v>0.406779661016949</v>
      </c>
      <c r="C27" s="56" t="n">
        <f aca="false">(C14/95.7)-1</f>
        <v>0.542372881355932</v>
      </c>
      <c r="D27" s="56" t="n">
        <f aca="false">(D14/95.7)-1</f>
        <v>0.677966101694915</v>
      </c>
      <c r="E27" s="56" t="n">
        <f aca="false">(E14/95.7)-1</f>
        <v>0.759322033898305</v>
      </c>
      <c r="F27" s="56" t="n">
        <f aca="false">(F14/95.7)-1</f>
        <v>0.867796610169491</v>
      </c>
      <c r="G27" s="56" t="n">
        <f aca="false">(G14/95.7)-1</f>
        <v>1.03050847457627</v>
      </c>
      <c r="H27" s="56" t="n">
        <f aca="false">(H14/95.7)-1</f>
        <v>1.22033898305085</v>
      </c>
      <c r="I27" s="56" t="n">
        <f aca="false">(I14/95.7)-1</f>
        <v>1.35593220338983</v>
      </c>
    </row>
    <row r="28" customFormat="false" ht="15" hidden="false" customHeight="true" outlineLevel="0" collapsed="false">
      <c r="A28" s="6" t="n">
        <v>8</v>
      </c>
      <c r="B28" s="56" t="n">
        <f aca="false">(B15/95.7)-1</f>
        <v>0.533898305084746</v>
      </c>
      <c r="C28" s="56" t="n">
        <f aca="false">(C15/95.7)-1</f>
        <v>0.711864406779661</v>
      </c>
      <c r="D28" s="56" t="n">
        <f aca="false">(D15/95.7)-1</f>
        <v>0.889830508474576</v>
      </c>
      <c r="E28" s="56" t="n">
        <f aca="false">(E15/95.7)-1</f>
        <v>0.996610169491525</v>
      </c>
      <c r="F28" s="56" t="n">
        <f aca="false">(F15/95.7)-1</f>
        <v>1.13898305084746</v>
      </c>
      <c r="G28" s="56" t="n">
        <f aca="false">(G15/95.7)-1</f>
        <v>1.35254237288136</v>
      </c>
      <c r="H28" s="56" t="n">
        <f aca="false">(H15/95.7)-1</f>
        <v>1.60169491525424</v>
      </c>
      <c r="I28" s="56" t="n">
        <f aca="false">(I15/95.7)-1</f>
        <v>1.77966101694915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2026-03-02T14:21:01Z</dcterms:created>
  <dc:creator>openpyxl</dc:creator>
  <dc:description/>
  <dc:language>en-US</dc:language>
  <cp:lastModifiedBy/>
  <dcterms:modified xsi:type="dcterms:W3CDTF">2026-03-02T14:25:52Z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