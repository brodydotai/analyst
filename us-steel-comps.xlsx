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 Comps" sheetId="1" state="visible" r:id="rId3"/>
    <sheet name="Catalyst Roadmaps" sheetId="2" state="visible" r:id="rId4"/>
    <sheet name="Strategic Position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<sst xmlns="http://schemas.openxmlformats.org/spreadsheetml/2006/main" count="222" uniqueCount="171">
  <si>
    <t xml:space="preserve">US Steel Producers — Valuation Comparison</t>
  </si>
  <si>
    <t xml:space="preserve">Data as of late February 2026. Blue = sourced input. Sources: Yahoo Finance, SEC filings, company earnings releases.</t>
  </si>
  <si>
    <t xml:space="preserve">Metric</t>
  </si>
  <si>
    <t xml:space="preserve">CLF</t>
  </si>
  <si>
    <t xml:space="preserve">NUE</t>
  </si>
  <si>
    <t xml:space="preserve">STLD</t>
  </si>
  <si>
    <t xml:space="preserve">X (Nippon)</t>
  </si>
  <si>
    <t xml:space="preserve">Notes</t>
  </si>
  <si>
    <t xml:space="preserve">MARKET DATA</t>
  </si>
  <si>
    <t xml:space="preserve">Stock Price</t>
  </si>
  <si>
    <t xml:space="preserve">Market Cap ($B)</t>
  </si>
  <si>
    <t xml:space="preserve">Enterprise Value ($B)</t>
  </si>
  <si>
    <t xml:space="preserve">X: Nippon acquired; EV est. ~$17B</t>
  </si>
  <si>
    <t xml:space="preserve">Shares Outstanding (M)</t>
  </si>
  <si>
    <t xml:space="preserve">INCOME STATEMENT (FY2025)</t>
  </si>
  <si>
    <t xml:space="preserve">Revenue ($B)</t>
  </si>
  <si>
    <t xml:space="preserve">X est. based on quarterly run rate</t>
  </si>
  <si>
    <t xml:space="preserve">Adjusted EBITDA ($B)</t>
  </si>
  <si>
    <t xml:space="preserve">CLF at trough; slab drag</t>
  </si>
  <si>
    <t xml:space="preserve">EBITDA Margin (%)</t>
  </si>
  <si>
    <t xml:space="preserve">Net Income ($B)</t>
  </si>
  <si>
    <t xml:space="preserve">CLF net loss incl. impairments</t>
  </si>
  <si>
    <t xml:space="preserve">D&amp;A ($B)</t>
  </si>
  <si>
    <t xml:space="preserve">CapEx ($B)</t>
  </si>
  <si>
    <t xml:space="preserve">BALANCE SHEET</t>
  </si>
  <si>
    <t xml:space="preserve">Total Debt ($B)</t>
  </si>
  <si>
    <t xml:space="preserve">Cash ($B)</t>
  </si>
  <si>
    <t xml:space="preserve">Net Debt ($B)</t>
  </si>
  <si>
    <t xml:space="preserve">Debt / EBITDA</t>
  </si>
  <si>
    <t xml:space="preserve">CLF leverage extreme at trough</t>
  </si>
  <si>
    <t xml:space="preserve">Credit Rating</t>
  </si>
  <si>
    <t xml:space="preserve">B+</t>
  </si>
  <si>
    <t xml:space="preserve">A-</t>
  </si>
  <si>
    <t xml:space="preserve">BBB+</t>
  </si>
  <si>
    <t xml:space="preserve">BB-</t>
  </si>
  <si>
    <t xml:space="preserve">VALUATION MULTIPLES</t>
  </si>
  <si>
    <t xml:space="preserve">EV / EBITDA (trailing)</t>
  </si>
  <si>
    <t xml:space="preserve">EV / EBITDA (FY2026E)</t>
  </si>
  <si>
    <t xml:space="preserve">FY26E EBITDA: CLF $1.25B, NUE $4.5B, STLD $3.0B, X $1.5B</t>
  </si>
  <si>
    <t xml:space="preserve">P/E (trailing)</t>
  </si>
  <si>
    <t xml:space="preserve">N/M</t>
  </si>
  <si>
    <t xml:space="preserve">CLF &amp; X negative earnings</t>
  </si>
  <si>
    <t xml:space="preserve">P / Book</t>
  </si>
  <si>
    <t xml:space="preserve">CLF below book value</t>
  </si>
  <si>
    <t xml:space="preserve">Dividend Yield</t>
  </si>
  <si>
    <t xml:space="preserve">0%</t>
  </si>
  <si>
    <t xml:space="preserve">1.6%</t>
  </si>
  <si>
    <t xml:space="preserve">1.7%</t>
  </si>
  <si>
    <t xml:space="preserve">N/A</t>
  </si>
  <si>
    <t xml:space="preserve">OPERATING METRICS</t>
  </si>
  <si>
    <t xml:space="preserve">Production Capacity (M tons)</t>
  </si>
  <si>
    <t xml:space="preserve">Annual raw steel</t>
  </si>
  <si>
    <t xml:space="preserve">Actual Shipments (M tons)</t>
  </si>
  <si>
    <t xml:space="preserve">FY2025</t>
  </si>
  <si>
    <t xml:space="preserve">Utilization Rate</t>
  </si>
  <si>
    <t xml:space="preserve">Revenue / Ton</t>
  </si>
  <si>
    <t xml:space="preserve">Employees</t>
  </si>
  <si>
    <t xml:space="preserve">PRODUCTION MODEL</t>
  </si>
  <si>
    <t xml:space="preserve">Primary Technology</t>
  </si>
  <si>
    <t xml:space="preserve">BF-BOF + EAF</t>
  </si>
  <si>
    <t xml:space="preserve">EAF (100%)</t>
  </si>
  <si>
    <t xml:space="preserve">Union Status</t>
  </si>
  <si>
    <t xml:space="preserve">USW Union</t>
  </si>
  <si>
    <t xml:space="preserve">Non-Union</t>
  </si>
  <si>
    <t xml:space="preserve">Vertical Integration</t>
  </si>
  <si>
    <t xml:space="preserve">Iron ore → finish</t>
  </si>
  <si>
    <t xml:space="preserve">Scrap → finish</t>
  </si>
  <si>
    <t xml:space="preserve">Specialty Products</t>
  </si>
  <si>
    <t xml:space="preserve">GOES, NOES,
Stainless</t>
  </si>
  <si>
    <t xml:space="preserve">None (commodity
focus)</t>
  </si>
  <si>
    <t xml:space="preserve">Aluminum
(new segment)</t>
  </si>
  <si>
    <t xml:space="preserve">NGO steel
(Big River)</t>
  </si>
  <si>
    <t xml:space="preserve">US Steel Producers — 2026 Catalyst Roadmaps</t>
  </si>
  <si>
    <t xml:space="preserve">Timeline of key events and their expected impact on each company.</t>
  </si>
  <si>
    <t xml:space="preserve">Timeline</t>
  </si>
  <si>
    <t xml:space="preserve">Catalyst</t>
  </si>
  <si>
    <t xml:space="preserve">Description</t>
  </si>
  <si>
    <t xml:space="preserve">Impact</t>
  </si>
  <si>
    <t xml:space="preserve">Beneficiary</t>
  </si>
  <si>
    <t xml:space="preserve">Q1 2026</t>
  </si>
  <si>
    <t xml:space="preserve">Mar-Apr 2026</t>
  </si>
  <si>
    <t xml:space="preserve">CLF Q1 Earnings</t>
  </si>
  <si>
    <t xml:space="preserve">First clean quarter without slab contract drag (~1.5M tons unprofitable volume removed). Consensus expects ~$250-350M EBITDA. Beat = re-rating; miss = hedge fund exits.</t>
  </si>
  <si>
    <t xml:space="preserve">HIGH</t>
  </si>
  <si>
    <t xml:space="preserve">Mar 2026</t>
  </si>
  <si>
    <t xml:space="preserve">Section 232 Tariffs in Effect</t>
  </si>
  <si>
    <t xml:space="preserve">50% tariffs on all steel imports creating $200-300/ton domestic pricing floor. Bipartisan support makes rollback unlikely.</t>
  </si>
  <si>
    <t xml:space="preserve">ALL</t>
  </si>
  <si>
    <t xml:space="preserve">NUE Q1 Guidance: Higher Earnings</t>
  </si>
  <si>
    <t xml:space="preserve">Nucor guided higher earnings across all three segments for Q1 2026. Volume + pricing recovery.</t>
  </si>
  <si>
    <t xml:space="preserve">MEDIUM</t>
  </si>
  <si>
    <t xml:space="preserve">STLD Aluminum Ramp to 40-50%</t>
  </si>
  <si>
    <t xml:space="preserve">Aluminum segment targeting 40-50% utilization by end of Q1. Proof of concept for multi-metal thesis.</t>
  </si>
  <si>
    <t xml:space="preserve">Q2 2026</t>
  </si>
  <si>
    <t xml:space="preserve">H1 2026</t>
  </si>
  <si>
    <t xml:space="preserve">CLF Weirton Transformer Plant Online</t>
  </si>
  <si>
    <t xml:space="preserve">First transformers from CLF-owned plant. Vertical integration: GOES producer becomes transformer manufacturer. ~600 jobs, $150M invested.</t>
  </si>
  <si>
    <t xml:space="preserve">CLF-POSCO Definitive Agreement</t>
  </si>
  <si>
    <t xml:space="preserve">Convert MOU to binding deal. Expected $700M+ equity investment for ~10% stake. Deleverages balance sheet, validates strategic value.</t>
  </si>
  <si>
    <t xml:space="preserve">X: Big River 2 Full Ramp</t>
  </si>
  <si>
    <t xml:space="preserve">Big River Steel Phase 2 (3M additional tons) ramping to full production. Total campus: 6M tons. Next-gen EAF flagship.</t>
  </si>
  <si>
    <t xml:space="preserve">X</t>
  </si>
  <si>
    <t xml:space="preserve">IIJA Peak Construction Phase</t>
  </si>
  <si>
    <t xml:space="preserve">Infrastructure Investment &amp; Jobs Act entering peak spending. Heavy plate, structural steel, rebar demand surge.</t>
  </si>
  <si>
    <t xml:space="preserve">H2 2026</t>
  </si>
  <si>
    <t xml:space="preserve">Late 2026</t>
  </si>
  <si>
    <t xml:space="preserve">NUE Apple Grove Sheet Mill Completion</t>
  </si>
  <si>
    <t xml:space="preserve">New 3M ton/yr sheet mill in West Virginia. Targets automotive and sustainable energy markets. Cold mill + 2 galvanizing lines.</t>
  </si>
  <si>
    <t xml:space="preserve">STLD Aluminum to 90% Utilization</t>
  </si>
  <si>
    <t xml:space="preserve">If achieved, aluminum segment could contribute $650-700M annual EBITDA. Transforms STLD into multi-metal company. Re-rating catalyst.</t>
  </si>
  <si>
    <t xml:space="preserve">CLF Auto Volume Recovery</t>
  </si>
  <si>
    <t xml:space="preserve">New OEM contracts secured. Production reshoring as tariffs push auto back to US sourcing. CLF has 30% auto exposure.</t>
  </si>
  <si>
    <t xml:space="preserve">X: Nippon $14B Investment Plan</t>
  </si>
  <si>
    <t xml:space="preserve">Nippon Steel committed $14B in US investment by 2028. $2.4B Mon Valley (PA). Technology transfer from world #4 steelmaker.</t>
  </si>
  <si>
    <t xml:space="preserve">2027+</t>
  </si>
  <si>
    <t xml:space="preserve">2027</t>
  </si>
  <si>
    <t xml:space="preserve">CLF GOES Segment Disclosure?</t>
  </si>
  <si>
    <t xml:space="preserve">If CLF begins reporting S&amp;E or GOES as separate disclosure, analysts must model it. Forces re-rating from 5x blended to SOP valuation.</t>
  </si>
  <si>
    <t xml:space="preserve">VERY HIGH</t>
  </si>
  <si>
    <t xml:space="preserve">Apr 2029</t>
  </si>
  <si>
    <t xml:space="preserve">DOE Transformer Efficiency Mandate</t>
  </si>
  <si>
    <t xml:space="preserve">All new distribution transformers must meet higher efficiency standards. Requires Hi-B GOES (CLF only US source) or amorphous metal.</t>
  </si>
  <si>
    <t xml:space="preserve">2027-2028</t>
  </si>
  <si>
    <t xml:space="preserve">NUE Towers &amp; Structures</t>
  </si>
  <si>
    <t xml:space="preserve">Nucor expanding into wind/transmission towers and steel structures for data centers and grid. High-margin downstream.</t>
  </si>
  <si>
    <t xml:space="preserve">Ongoing</t>
  </si>
  <si>
    <t xml:space="preserve">Data Center Buildout (50+ GW)</t>
  </si>
  <si>
    <t xml:space="preserve">Multi-year structural demand: Microsoft, Google, Amazon, Meta. Every GW needs transformers, switchgear, cabling, structural steel.</t>
  </si>
  <si>
    <t xml:space="preserve">ALL (CLF most)</t>
  </si>
  <si>
    <t xml:space="preserve">Strategic Positioning Matrix — Where Each Company Wins</t>
  </si>
  <si>
    <t xml:space="preserve">What the market is pricing vs. what each company actually has.</t>
  </si>
  <si>
    <t xml:space="preserve">Dimension</t>
  </si>
  <si>
    <t xml:space="preserve">MARKET NARRATIVE</t>
  </si>
  <si>
    <t xml:space="preserve">Leveraged steel cyclical
with too much debt</t>
  </si>
  <si>
    <t xml:space="preserve">Best-in-class operator
with fortress balance sheet</t>
  </si>
  <si>
    <t xml:space="preserve">Growth story:
steel + aluminum</t>
  </si>
  <si>
    <t xml:space="preserve">Nippon turnaround:
$14B investment</t>
  </si>
  <si>
    <t xml:space="preserve">WHAT MARKET MISSES</t>
  </si>
  <si>
    <t xml:space="preserve">GOES monopoly = $1B+
revenue hidden in S&amp;E.
9.7% of rev, 3.4% of vol.
3.15x ASP premium.</t>
  </si>
  <si>
    <t xml:space="preserve">Priced to perfection.
Apple Grove adds capacity
into potentially soft market.
Limited upside surprise.</t>
  </si>
  <si>
    <t xml:space="preserve">Aluminum ramp risk.
Never done before at scale.
10-20% utilization today.
Execution uncertainty.</t>
  </si>
  <si>
    <t xml:space="preserve">Golden share = govt
control. Union issues.
Integrated model high-cost
vs EAF competitors.</t>
  </si>
  <si>
    <t xml:space="preserve">TARIFF BENEFIT</t>
  </si>
  <si>
    <t xml:space="preserve">HIGHEST: 50% Sec 232
+ 80-230% on GOES
imports specifically.
Double protection.</t>
  </si>
  <si>
    <t xml:space="preserve">HIGH: 50% Sec 232.
But already priced
into current multiple.
Less incremental upside.</t>
  </si>
  <si>
    <t xml:space="preserve">HIGH: 50% Sec 232.
Aluminum tariffs
add extra benefit
to new segment.</t>
  </si>
  <si>
    <t xml:space="preserve">MODERATE: Tariffs
help but Nippon is
foreign owner = 
political complexity.</t>
  </si>
  <si>
    <t xml:space="preserve">ENERGY TRANSITION
EXPOSURE</t>
  </si>
  <si>
    <t xml:space="preserve">DIRECT: GOES for
transformers. NOES for
EV motors. Weirton
transformer plant.</t>
  </si>
  <si>
    <t xml:space="preserve">INDIRECT: Sheet steel
for solar racking,
wind towers. No
specialty products.</t>
  </si>
  <si>
    <t xml:space="preserve">INDIRECT: Aluminum
for EV lightweighting,
beverage cans.
Not grid-linked.</t>
  </si>
  <si>
    <t xml:space="preserve">INDIRECT: Big River
NGO steel for motors.
Not a monopoly
position.</t>
  </si>
  <si>
    <t xml:space="preserve">AI / DATA CENTER
LINKAGE</t>
  </si>
  <si>
    <t xml:space="preserve">STRONGEST:
Every data center
→ transformers
→ GOES → CLF only</t>
  </si>
  <si>
    <t xml:space="preserve">MODERATE:
Structural steel
for data center
construction</t>
  </si>
  <si>
    <t xml:space="preserve">MODERATE:
Structural steel
+ aluminum for
cooling/enclosures</t>
  </si>
  <si>
    <t xml:space="preserve">WEAK:
No differentiated
data center
product exposure</t>
  </si>
  <si>
    <t xml:space="preserve">WEAKEST:
$7.25B debt, B+ rating
196x Debt/EBITDA
(trough distortion)</t>
  </si>
  <si>
    <t xml:space="preserve">STRONGEST:
A- rating, $4.8B cash
1.9x Debt/EBITDA
Fortress BS</t>
  </si>
  <si>
    <t xml:space="preserve">STRONG:
BBB+, manageable
1.9x Debt/EBITDA
Solid FCF</t>
  </si>
  <si>
    <t xml:space="preserve">UNCERTAIN:
Nippon backstop
but legacy costs
and union obligations</t>
  </si>
  <si>
    <t xml:space="preserve">12-MONTH
RISK/REWARD</t>
  </si>
  <si>
    <t xml:space="preserve">HIGHEST UPSIDE:
If Q1 confirms slab
recovery + POSCO deal
closes. 50-100% upside
to fair value.</t>
  </si>
  <si>
    <t xml:space="preserve">LIMITED UPSIDE:
Priced for perfection
at 10-11x. Maybe 10-15%
if cycle turns. Downside
if Apple Grove underwhelms.</t>
  </si>
  <si>
    <t xml:space="preserve">ASYMMETRIC:
Aluminum ramp is
binary. Success = 30%+
upside. Failure = 
15-20% downside.</t>
  </si>
  <si>
    <t xml:space="preserve">SPECIAL SIT:
Nippon integration
is the variable.
Too many unknowns
for clean analysis.</t>
  </si>
  <si>
    <t xml:space="preserve">WHAT MUST GO RIGHT</t>
  </si>
  <si>
    <t xml:space="preserve">1) Q1 EBITDA &gt;$300M
2) POSCO closes H1
3) Weirton ships
4) Auto recovers</t>
  </si>
  <si>
    <t xml:space="preserve">1) Apple Grove on time
2) Pricing holds
3) No recession
4) Continue buybacks</t>
  </si>
  <si>
    <t xml:space="preserve">1) Aluminum to 75%+
utilization by mid-26
2) Steel margins hold
3) No Al oversupply</t>
  </si>
  <si>
    <t xml:space="preserve">1) Nippon executes
2) Union cooperation
3) Govt stays hands-off
4) Big River 2 ramps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</si>
</sst>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.0\B"/>
    <numFmt numFmtId="167" formatCode="#,##0.0"/>
    <numFmt numFmtId="168" formatCode="0.0%"/>
    <numFmt numFmtId="169" formatCode="0.0\x"/>
    <numFmt numFmtId="170" formatCode="0.0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10"/>
      <color rgb="FF99660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3CD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D7D7"/>
        <bgColor rgb="FFFFF3CD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1" min="2" style="0" width="14"/>
    <col collapsed="false" customWidth="true" hidden="false" outlineLevel="0" max="12" min="12" style="0" width="3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customFormat="false" ht="15" hidden="false" customHeight="false" outlineLevel="0" collapsed="false">
      <c r="A5" s="4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6" t="s">
        <v>9</v>
      </c>
      <c r="B6" s="7" t="n">
        <v>10.65</v>
      </c>
      <c r="C6" s="8" t="n">
        <v>176</v>
      </c>
      <c r="D6" s="8" t="n">
        <v>193</v>
      </c>
      <c r="E6" s="8" t="n">
        <v>54.84</v>
      </c>
      <c r="F6" s="5"/>
      <c r="G6" s="5"/>
      <c r="H6" s="5"/>
      <c r="I6" s="5"/>
      <c r="J6" s="5"/>
      <c r="K6" s="5"/>
      <c r="L6" s="5"/>
    </row>
    <row r="7" customFormat="false" ht="15" hidden="false" customHeight="false" outlineLevel="0" collapsed="false">
      <c r="A7" s="6" t="s">
        <v>10</v>
      </c>
      <c r="B7" s="9" t="n">
        <v>6.1</v>
      </c>
      <c r="C7" s="10" t="n">
        <v>40.9</v>
      </c>
      <c r="D7" s="10" t="n">
        <v>28</v>
      </c>
      <c r="E7" s="10" t="n">
        <v>12.4</v>
      </c>
      <c r="F7" s="5"/>
      <c r="G7" s="5"/>
      <c r="H7" s="5"/>
      <c r="I7" s="5"/>
      <c r="J7" s="5"/>
      <c r="K7" s="5"/>
      <c r="L7" s="5"/>
    </row>
    <row r="8" customFormat="false" ht="15" hidden="false" customHeight="false" outlineLevel="0" collapsed="false">
      <c r="A8" s="6" t="s">
        <v>11</v>
      </c>
      <c r="B8" s="11" t="n">
        <v>13.4</v>
      </c>
      <c r="C8" s="12" t="n">
        <v>47.8</v>
      </c>
      <c r="D8" s="12" t="n">
        <v>31.4</v>
      </c>
      <c r="E8" s="5"/>
      <c r="F8" s="5"/>
      <c r="G8" s="5"/>
      <c r="H8" s="5"/>
      <c r="I8" s="5"/>
      <c r="J8" s="5"/>
      <c r="K8" s="5"/>
      <c r="L8" s="5" t="s">
        <v>12</v>
      </c>
    </row>
    <row r="9" customFormat="false" ht="15" hidden="false" customHeight="false" outlineLevel="0" collapsed="false">
      <c r="A9" s="6" t="s">
        <v>13</v>
      </c>
      <c r="B9" s="13" t="n">
        <v>570</v>
      </c>
      <c r="C9" s="5" t="n">
        <v>229</v>
      </c>
      <c r="D9" s="5" t="n">
        <v>145</v>
      </c>
      <c r="E9" s="5" t="n">
        <v>226</v>
      </c>
      <c r="F9" s="5"/>
      <c r="G9" s="5"/>
      <c r="H9" s="5"/>
      <c r="I9" s="5"/>
      <c r="J9" s="5"/>
      <c r="K9" s="5"/>
      <c r="L9" s="5"/>
    </row>
    <row r="10" customFormat="false" ht="15" hidden="false" customHeight="false" outlineLevel="0" collapsed="false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false" outlineLevel="0" collapsed="false">
      <c r="A11" s="4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false" outlineLevel="0" collapsed="false">
      <c r="A12" s="6" t="s">
        <v>15</v>
      </c>
      <c r="B12" s="11" t="n">
        <v>18.6</v>
      </c>
      <c r="C12" s="12" t="n">
        <v>31.9</v>
      </c>
      <c r="D12" s="12" t="n">
        <v>18.2</v>
      </c>
      <c r="E12" s="12" t="n">
        <v>13.8</v>
      </c>
      <c r="F12" s="5"/>
      <c r="G12" s="5"/>
      <c r="H12" s="5"/>
      <c r="I12" s="5"/>
      <c r="J12" s="5"/>
      <c r="K12" s="5"/>
      <c r="L12" s="5" t="s">
        <v>16</v>
      </c>
    </row>
    <row r="13" customFormat="false" ht="15" hidden="false" customHeight="false" outlineLevel="0" collapsed="false">
      <c r="A13" s="6" t="s">
        <v>17</v>
      </c>
      <c r="B13" s="11" t="n">
        <v>0.037</v>
      </c>
      <c r="C13" s="12" t="n">
        <v>3.6</v>
      </c>
      <c r="D13" s="12" t="n">
        <v>2.2</v>
      </c>
      <c r="E13" s="12" t="n">
        <v>0.7</v>
      </c>
      <c r="F13" s="5"/>
      <c r="G13" s="5"/>
      <c r="H13" s="5"/>
      <c r="I13" s="5"/>
      <c r="J13" s="5"/>
      <c r="K13" s="5"/>
      <c r="L13" s="5" t="s">
        <v>18</v>
      </c>
    </row>
    <row r="14" customFormat="false" ht="15" hidden="false" customHeight="false" outlineLevel="0" collapsed="false">
      <c r="A14" s="6" t="s">
        <v>19</v>
      </c>
      <c r="B14" s="14" t="n">
        <f aca="false">IF(B13&lt;&gt;0,B13/B12,0)</f>
        <v>0.00198924731182796</v>
      </c>
      <c r="C14" s="14" t="n">
        <f aca="false">IF(C13&lt;&gt;0,C13/C12,0)</f>
        <v>0.112852664576803</v>
      </c>
      <c r="D14" s="14" t="n">
        <f aca="false">IF(D13&lt;&gt;0,D13/D12,0)</f>
        <v>0.120879120879121</v>
      </c>
      <c r="E14" s="14" t="n">
        <f aca="false">IF(E13&lt;&gt;0,E13/E12,0)</f>
        <v>0.0507246376811594</v>
      </c>
      <c r="F14" s="5"/>
      <c r="G14" s="5"/>
      <c r="H14" s="5"/>
      <c r="I14" s="5"/>
      <c r="J14" s="5"/>
      <c r="K14" s="5"/>
      <c r="L14" s="5"/>
    </row>
    <row r="15" customFormat="false" ht="15" hidden="false" customHeight="false" outlineLevel="0" collapsed="false">
      <c r="A15" s="6" t="s">
        <v>20</v>
      </c>
      <c r="B15" s="11" t="n">
        <v>-1.43</v>
      </c>
      <c r="C15" s="12" t="n">
        <v>1.8</v>
      </c>
      <c r="D15" s="12" t="n">
        <v>1.2</v>
      </c>
      <c r="E15" s="12" t="n">
        <v>-0.2</v>
      </c>
      <c r="F15" s="5"/>
      <c r="G15" s="5"/>
      <c r="H15" s="5"/>
      <c r="I15" s="5"/>
      <c r="J15" s="5"/>
      <c r="K15" s="5"/>
      <c r="L15" s="5" t="s">
        <v>21</v>
      </c>
    </row>
    <row r="16" customFormat="false" ht="15" hidden="false" customHeight="false" outlineLevel="0" collapsed="false">
      <c r="A16" s="4" t="s">
        <v>22</v>
      </c>
      <c r="B16" s="11" t="n">
        <v>1.24</v>
      </c>
      <c r="C16" s="12" t="n">
        <v>1.5</v>
      </c>
      <c r="D16" s="12" t="n">
        <v>0.7</v>
      </c>
      <c r="E16" s="12" t="n">
        <v>0.8</v>
      </c>
      <c r="F16" s="5"/>
      <c r="G16" s="5"/>
      <c r="H16" s="5"/>
      <c r="I16" s="5"/>
      <c r="J16" s="5"/>
      <c r="K16" s="5"/>
      <c r="L16" s="5"/>
    </row>
    <row r="17" customFormat="false" ht="15" hidden="false" customHeight="false" outlineLevel="0" collapsed="false">
      <c r="A17" s="6" t="s">
        <v>23</v>
      </c>
      <c r="B17" s="13" t="n">
        <v>0.7</v>
      </c>
      <c r="C17" s="5" t="n">
        <v>2.5</v>
      </c>
      <c r="D17" s="5" t="n">
        <v>1</v>
      </c>
      <c r="E17" s="5" t="n">
        <v>1.4</v>
      </c>
      <c r="F17" s="5"/>
      <c r="G17" s="5"/>
      <c r="H17" s="5"/>
      <c r="I17" s="5"/>
      <c r="J17" s="5"/>
      <c r="K17" s="5"/>
      <c r="L17" s="5"/>
    </row>
    <row r="18" customFormat="false" ht="15" hidden="false" customHeight="false" outlineLevel="0" collapsed="false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false" outlineLevel="0" collapsed="false">
      <c r="A19" s="4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6" t="s">
        <v>25</v>
      </c>
      <c r="B20" s="11" t="n">
        <v>7.25</v>
      </c>
      <c r="C20" s="12" t="n">
        <v>6.9</v>
      </c>
      <c r="D20" s="12" t="n">
        <v>4.2</v>
      </c>
      <c r="E20" s="12" t="n">
        <v>4.5</v>
      </c>
      <c r="F20" s="5"/>
      <c r="G20" s="5"/>
      <c r="H20" s="5"/>
      <c r="I20" s="5"/>
      <c r="J20" s="5"/>
      <c r="K20" s="5"/>
      <c r="L20" s="5"/>
    </row>
    <row r="21" customFormat="false" ht="15" hidden="false" customHeight="false" outlineLevel="0" collapsed="false">
      <c r="A21" s="6" t="s">
        <v>26</v>
      </c>
      <c r="B21" s="11" t="n">
        <v>0.06</v>
      </c>
      <c r="C21" s="12" t="n">
        <v>4.8</v>
      </c>
      <c r="D21" s="12" t="n">
        <v>0.8</v>
      </c>
      <c r="E21" s="12" t="n">
        <v>1.2</v>
      </c>
      <c r="F21" s="5"/>
      <c r="G21" s="5"/>
      <c r="H21" s="5"/>
      <c r="I21" s="5"/>
      <c r="J21" s="5"/>
      <c r="K21" s="5"/>
      <c r="L21" s="5"/>
    </row>
    <row r="22" customFormat="false" ht="15" hidden="false" customHeight="false" outlineLevel="0" collapsed="false">
      <c r="A22" s="6" t="s">
        <v>27</v>
      </c>
      <c r="B22" s="15" t="n">
        <f aca="false">B20-B21</f>
        <v>7.19</v>
      </c>
      <c r="C22" s="15" t="n">
        <f aca="false">C20-C21</f>
        <v>2.1</v>
      </c>
      <c r="D22" s="15" t="n">
        <f aca="false">D20-D21</f>
        <v>3.4</v>
      </c>
      <c r="E22" s="15" t="n">
        <f aca="false">E20-E21</f>
        <v>3.3</v>
      </c>
      <c r="F22" s="5"/>
      <c r="G22" s="5"/>
      <c r="H22" s="5"/>
      <c r="I22" s="5"/>
      <c r="J22" s="5"/>
      <c r="K22" s="5"/>
      <c r="L22" s="5"/>
    </row>
    <row r="23" customFormat="false" ht="15" hidden="false" customHeight="false" outlineLevel="0" collapsed="false">
      <c r="A23" s="6" t="s">
        <v>28</v>
      </c>
      <c r="B23" s="16" t="n">
        <f aca="false">IF(B13&gt;0,B20/B13,"N/M")</f>
        <v>195.945945945946</v>
      </c>
      <c r="C23" s="16" t="n">
        <f aca="false">IF(C13&gt;0,C20/C13,"N/M")</f>
        <v>1.91666666666667</v>
      </c>
      <c r="D23" s="16" t="n">
        <f aca="false">IF(D13&gt;0,D20/D13,"N/M")</f>
        <v>1.90909090909091</v>
      </c>
      <c r="E23" s="16" t="n">
        <f aca="false">IF(E13&gt;0,E20/E13,"N/M")</f>
        <v>6.42857142857143</v>
      </c>
      <c r="F23" s="5"/>
      <c r="G23" s="5"/>
      <c r="H23" s="5"/>
      <c r="I23" s="5"/>
      <c r="J23" s="5"/>
      <c r="K23" s="5"/>
      <c r="L23" s="5" t="s">
        <v>29</v>
      </c>
    </row>
    <row r="24" customFormat="false" ht="15" hidden="false" customHeight="false" outlineLevel="0" collapsed="false">
      <c r="A24" s="6" t="s">
        <v>30</v>
      </c>
      <c r="B24" s="13" t="s">
        <v>31</v>
      </c>
      <c r="C24" s="5" t="s">
        <v>32</v>
      </c>
      <c r="D24" s="5" t="s">
        <v>33</v>
      </c>
      <c r="E24" s="5" t="s">
        <v>34</v>
      </c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4" t="s">
        <v>35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6" t="s">
        <v>36</v>
      </c>
      <c r="B27" s="17" t="n">
        <f aca="false">IF(B13&gt;0,B8/B13,"N/M")</f>
        <v>362.162162162162</v>
      </c>
      <c r="C27" s="17" t="n">
        <f aca="false">IF(C13&gt;0,C8/C13,"N/M")</f>
        <v>13.2777777777778</v>
      </c>
      <c r="D27" s="17" t="n">
        <f aca="false">IF(D13&gt;0,D8/D13,"N/M")</f>
        <v>14.2727272727273</v>
      </c>
      <c r="E27" s="17" t="n">
        <f aca="false">IF(E13&gt;0,E8/E13,"N/M")</f>
        <v>0</v>
      </c>
      <c r="F27" s="5"/>
      <c r="G27" s="5"/>
      <c r="H27" s="5"/>
      <c r="I27" s="5"/>
      <c r="J27" s="5"/>
      <c r="K27" s="5"/>
      <c r="L27" s="5"/>
    </row>
    <row r="28" customFormat="false" ht="22.35" hidden="false" customHeight="false" outlineLevel="0" collapsed="false">
      <c r="A28" s="4" t="s">
        <v>37</v>
      </c>
      <c r="B28" s="17" t="n">
        <v>10.72</v>
      </c>
      <c r="C28" s="17" t="n">
        <v>10.6222222222222</v>
      </c>
      <c r="D28" s="17" t="n">
        <v>10.4666666666667</v>
      </c>
      <c r="E28" s="17" t="n">
        <v>11.3333333333333</v>
      </c>
      <c r="F28" s="5"/>
      <c r="G28" s="5"/>
      <c r="H28" s="5"/>
      <c r="I28" s="5"/>
      <c r="J28" s="5"/>
      <c r="K28" s="5"/>
      <c r="L28" s="18" t="s">
        <v>38</v>
      </c>
    </row>
    <row r="29" customFormat="false" ht="15" hidden="false" customHeight="false" outlineLevel="0" collapsed="false">
      <c r="A29" s="6" t="s">
        <v>39</v>
      </c>
      <c r="B29" s="13" t="s">
        <v>40</v>
      </c>
      <c r="C29" s="5" t="n">
        <v>11.4</v>
      </c>
      <c r="D29" s="5" t="n">
        <v>11.7</v>
      </c>
      <c r="E29" s="5" t="s">
        <v>40</v>
      </c>
      <c r="F29" s="5"/>
      <c r="G29" s="5"/>
      <c r="H29" s="5"/>
      <c r="I29" s="5"/>
      <c r="J29" s="5"/>
      <c r="K29" s="5"/>
      <c r="L29" s="5" t="s">
        <v>41</v>
      </c>
    </row>
    <row r="30" customFormat="false" ht="15" hidden="false" customHeight="false" outlineLevel="0" collapsed="false">
      <c r="A30" s="6" t="s">
        <v>42</v>
      </c>
      <c r="B30" s="13" t="n">
        <v>0.96</v>
      </c>
      <c r="C30" s="5" t="n">
        <v>1.87</v>
      </c>
      <c r="D30" s="5" t="n">
        <v>2.86</v>
      </c>
      <c r="E30" s="5"/>
      <c r="F30" s="5"/>
      <c r="G30" s="5"/>
      <c r="H30" s="5"/>
      <c r="I30" s="5"/>
      <c r="J30" s="5"/>
      <c r="K30" s="5"/>
      <c r="L30" s="5" t="s">
        <v>43</v>
      </c>
    </row>
    <row r="31" customFormat="false" ht="15" hidden="false" customHeight="false" outlineLevel="0" collapsed="false">
      <c r="A31" s="6" t="s">
        <v>44</v>
      </c>
      <c r="B31" s="13" t="s">
        <v>45</v>
      </c>
      <c r="C31" s="5" t="s">
        <v>46</v>
      </c>
      <c r="D31" s="5" t="s">
        <v>47</v>
      </c>
      <c r="E31" s="5" t="s">
        <v>48</v>
      </c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false" outlineLevel="0" collapsed="false">
      <c r="A33" s="4" t="s">
        <v>49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6" t="s">
        <v>50</v>
      </c>
      <c r="B34" s="19" t="n">
        <v>20</v>
      </c>
      <c r="C34" s="20" t="n">
        <v>25</v>
      </c>
      <c r="D34" s="20" t="n">
        <v>16</v>
      </c>
      <c r="E34" s="20" t="n">
        <v>15</v>
      </c>
      <c r="F34" s="5"/>
      <c r="G34" s="5"/>
      <c r="H34" s="5"/>
      <c r="I34" s="5"/>
      <c r="J34" s="5"/>
      <c r="K34" s="5"/>
      <c r="L34" s="5" t="s">
        <v>51</v>
      </c>
    </row>
    <row r="35" customFormat="false" ht="15" hidden="false" customHeight="false" outlineLevel="0" collapsed="false">
      <c r="A35" s="6" t="s">
        <v>52</v>
      </c>
      <c r="B35" s="19" t="n">
        <v>16.2</v>
      </c>
      <c r="C35" s="20" t="n">
        <v>22.5</v>
      </c>
      <c r="D35" s="20" t="n">
        <v>13.7</v>
      </c>
      <c r="E35" s="20" t="n">
        <v>11</v>
      </c>
      <c r="F35" s="5"/>
      <c r="G35" s="5"/>
      <c r="H35" s="5"/>
      <c r="I35" s="5"/>
      <c r="J35" s="5"/>
      <c r="K35" s="5"/>
      <c r="L35" s="5" t="s">
        <v>53</v>
      </c>
    </row>
    <row r="36" customFormat="false" ht="15" hidden="false" customHeight="false" outlineLevel="0" collapsed="false">
      <c r="A36" s="6" t="s">
        <v>54</v>
      </c>
      <c r="B36" s="14" t="n">
        <f aca="false">IF(B34&gt;0,B35/B34,0)</f>
        <v>0.81</v>
      </c>
      <c r="C36" s="14" t="n">
        <f aca="false">IF(C34&gt;0,C35/C34,0)</f>
        <v>0.9</v>
      </c>
      <c r="D36" s="14" t="n">
        <f aca="false">IF(D34&gt;0,D35/D34,0)</f>
        <v>0.85625</v>
      </c>
      <c r="E36" s="14" t="n">
        <f aca="false">IF(E34&gt;0,E35/E34,0)</f>
        <v>0.733333333333333</v>
      </c>
      <c r="F36" s="5"/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6" t="s">
        <v>55</v>
      </c>
      <c r="B37" s="21" t="n">
        <f aca="false">IF(B35&gt;0,B12/B35,0)</f>
        <v>1.14814814814815</v>
      </c>
      <c r="C37" s="21" t="n">
        <f aca="false">IF(C35&gt;0,C12/C35,0)</f>
        <v>1.41777777777778</v>
      </c>
      <c r="D37" s="21" t="n">
        <f aca="false">IF(D35&gt;0,D12/D35,0)</f>
        <v>1.32846715328467</v>
      </c>
      <c r="E37" s="21" t="n">
        <f aca="false">IF(E35&gt;0,E12/E35,0)</f>
        <v>1.25454545454545</v>
      </c>
      <c r="F37" s="5"/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6" t="s">
        <v>56</v>
      </c>
      <c r="B38" s="13" t="n">
        <v>28000</v>
      </c>
      <c r="C38" s="5" t="n">
        <v>31400</v>
      </c>
      <c r="D38" s="5" t="n">
        <v>12500</v>
      </c>
      <c r="E38" s="5" t="n">
        <v>22000</v>
      </c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4" t="s">
        <v>57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15" hidden="false" customHeight="false" outlineLevel="0" collapsed="false">
      <c r="A41" s="6" t="s">
        <v>58</v>
      </c>
      <c r="B41" s="13" t="s">
        <v>59</v>
      </c>
      <c r="C41" s="5" t="s">
        <v>60</v>
      </c>
      <c r="D41" s="5" t="s">
        <v>60</v>
      </c>
      <c r="E41" s="5" t="s">
        <v>59</v>
      </c>
      <c r="F41" s="5"/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6" t="s">
        <v>61</v>
      </c>
      <c r="B42" s="13" t="s">
        <v>62</v>
      </c>
      <c r="C42" s="5" t="s">
        <v>63</v>
      </c>
      <c r="D42" s="5" t="s">
        <v>63</v>
      </c>
      <c r="E42" s="5" t="s">
        <v>62</v>
      </c>
      <c r="F42" s="5"/>
      <c r="G42" s="5"/>
      <c r="H42" s="5"/>
      <c r="I42" s="5"/>
      <c r="J42" s="5"/>
      <c r="K42" s="5"/>
      <c r="L42" s="5"/>
    </row>
    <row r="43" customFormat="false" ht="15" hidden="false" customHeight="false" outlineLevel="0" collapsed="false">
      <c r="A43" s="6" t="s">
        <v>64</v>
      </c>
      <c r="B43" s="13" t="s">
        <v>65</v>
      </c>
      <c r="C43" s="5" t="s">
        <v>66</v>
      </c>
      <c r="D43" s="5" t="s">
        <v>66</v>
      </c>
      <c r="E43" s="5" t="s">
        <v>65</v>
      </c>
      <c r="F43" s="5"/>
      <c r="G43" s="5"/>
      <c r="H43" s="5"/>
      <c r="I43" s="5"/>
      <c r="J43" s="5"/>
      <c r="K43" s="5"/>
      <c r="L43" s="5"/>
    </row>
    <row r="44" customFormat="false" ht="35.05" hidden="false" customHeight="false" outlineLevel="0" collapsed="false">
      <c r="A44" s="6" t="s">
        <v>67</v>
      </c>
      <c r="B44" s="13" t="s">
        <v>68</v>
      </c>
      <c r="C44" s="5" t="s">
        <v>69</v>
      </c>
      <c r="D44" s="5" t="s">
        <v>70</v>
      </c>
      <c r="E44" s="5" t="s">
        <v>71</v>
      </c>
      <c r="F44" s="5"/>
      <c r="G44" s="5"/>
      <c r="H44" s="5"/>
      <c r="I44" s="5"/>
      <c r="J44" s="5"/>
      <c r="K44" s="5"/>
      <c r="L4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5" min="4" style="0" width="14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</row>
    <row r="5" customFormat="false" ht="15" hidden="false" customHeight="false" outlineLevel="0" collapsed="false">
      <c r="A5" s="22" t="s">
        <v>79</v>
      </c>
      <c r="B5" s="6"/>
      <c r="C5" s="6"/>
      <c r="D5" s="5"/>
      <c r="E5" s="5"/>
    </row>
    <row r="6" customFormat="false" ht="35.05" hidden="false" customHeight="false" outlineLevel="0" collapsed="false">
      <c r="A6" s="5" t="s">
        <v>80</v>
      </c>
      <c r="B6" s="6" t="s">
        <v>81</v>
      </c>
      <c r="C6" s="6" t="s">
        <v>82</v>
      </c>
      <c r="D6" s="23" t="s">
        <v>83</v>
      </c>
      <c r="E6" s="24" t="s">
        <v>3</v>
      </c>
    </row>
    <row r="7" customFormat="false" ht="35.05" hidden="false" customHeight="false" outlineLevel="0" collapsed="false">
      <c r="A7" s="5" t="s">
        <v>84</v>
      </c>
      <c r="B7" s="6" t="s">
        <v>85</v>
      </c>
      <c r="C7" s="6" t="s">
        <v>86</v>
      </c>
      <c r="D7" s="23" t="s">
        <v>83</v>
      </c>
      <c r="E7" s="5" t="s">
        <v>87</v>
      </c>
    </row>
    <row r="8" customFormat="false" ht="23.85" hidden="false" customHeight="false" outlineLevel="0" collapsed="false">
      <c r="A8" s="5" t="s">
        <v>79</v>
      </c>
      <c r="B8" s="6" t="s">
        <v>88</v>
      </c>
      <c r="C8" s="6" t="s">
        <v>89</v>
      </c>
      <c r="D8" s="25" t="s">
        <v>90</v>
      </c>
      <c r="E8" s="5" t="s">
        <v>4</v>
      </c>
    </row>
    <row r="9" customFormat="false" ht="23.85" hidden="false" customHeight="false" outlineLevel="0" collapsed="false">
      <c r="A9" s="5" t="s">
        <v>79</v>
      </c>
      <c r="B9" s="6" t="s">
        <v>91</v>
      </c>
      <c r="C9" s="6" t="s">
        <v>92</v>
      </c>
      <c r="D9" s="25" t="s">
        <v>90</v>
      </c>
      <c r="E9" s="5" t="s">
        <v>5</v>
      </c>
    </row>
    <row r="10" customFormat="false" ht="15" hidden="false" customHeight="false" outlineLevel="0" collapsed="false">
      <c r="A10" s="5"/>
      <c r="B10" s="6"/>
      <c r="C10" s="6"/>
      <c r="D10" s="5"/>
      <c r="E10" s="5"/>
    </row>
    <row r="11" customFormat="false" ht="15" hidden="false" customHeight="false" outlineLevel="0" collapsed="false">
      <c r="A11" s="22" t="s">
        <v>93</v>
      </c>
      <c r="B11" s="6"/>
      <c r="C11" s="6"/>
      <c r="D11" s="5"/>
      <c r="E11" s="5"/>
    </row>
    <row r="12" customFormat="false" ht="35.05" hidden="false" customHeight="false" outlineLevel="0" collapsed="false">
      <c r="A12" s="5" t="s">
        <v>94</v>
      </c>
      <c r="B12" s="6" t="s">
        <v>95</v>
      </c>
      <c r="C12" s="6" t="s">
        <v>96</v>
      </c>
      <c r="D12" s="23" t="s">
        <v>83</v>
      </c>
      <c r="E12" s="24" t="s">
        <v>3</v>
      </c>
    </row>
    <row r="13" customFormat="false" ht="35.05" hidden="false" customHeight="false" outlineLevel="0" collapsed="false">
      <c r="A13" s="5" t="s">
        <v>94</v>
      </c>
      <c r="B13" s="6" t="s">
        <v>97</v>
      </c>
      <c r="C13" s="6" t="s">
        <v>98</v>
      </c>
      <c r="D13" s="23" t="s">
        <v>83</v>
      </c>
      <c r="E13" s="24" t="s">
        <v>3</v>
      </c>
    </row>
    <row r="14" customFormat="false" ht="23.85" hidden="false" customHeight="false" outlineLevel="0" collapsed="false">
      <c r="A14" s="5" t="s">
        <v>94</v>
      </c>
      <c r="B14" s="6" t="s">
        <v>99</v>
      </c>
      <c r="C14" s="6" t="s">
        <v>100</v>
      </c>
      <c r="D14" s="23" t="s">
        <v>83</v>
      </c>
      <c r="E14" s="5" t="s">
        <v>101</v>
      </c>
    </row>
    <row r="15" customFormat="false" ht="23.85" hidden="false" customHeight="false" outlineLevel="0" collapsed="false">
      <c r="A15" s="5" t="s">
        <v>93</v>
      </c>
      <c r="B15" s="6" t="s">
        <v>102</v>
      </c>
      <c r="C15" s="6" t="s">
        <v>103</v>
      </c>
      <c r="D15" s="25" t="s">
        <v>90</v>
      </c>
      <c r="E15" s="5" t="s">
        <v>87</v>
      </c>
    </row>
    <row r="16" customFormat="false" ht="15" hidden="false" customHeight="false" outlineLevel="0" collapsed="false">
      <c r="A16" s="5"/>
      <c r="B16" s="6"/>
      <c r="C16" s="6"/>
      <c r="D16" s="5"/>
      <c r="E16" s="5"/>
    </row>
    <row r="17" customFormat="false" ht="15" hidden="false" customHeight="false" outlineLevel="0" collapsed="false">
      <c r="A17" s="22" t="s">
        <v>104</v>
      </c>
      <c r="B17" s="6"/>
      <c r="C17" s="6"/>
      <c r="D17" s="5"/>
      <c r="E17" s="5"/>
    </row>
    <row r="18" customFormat="false" ht="35.05" hidden="false" customHeight="false" outlineLevel="0" collapsed="false">
      <c r="A18" s="5" t="s">
        <v>105</v>
      </c>
      <c r="B18" s="6" t="s">
        <v>106</v>
      </c>
      <c r="C18" s="6" t="s">
        <v>107</v>
      </c>
      <c r="D18" s="23" t="s">
        <v>83</v>
      </c>
      <c r="E18" s="5" t="s">
        <v>4</v>
      </c>
    </row>
    <row r="19" customFormat="false" ht="35.05" hidden="false" customHeight="false" outlineLevel="0" collapsed="false">
      <c r="A19" s="5" t="s">
        <v>105</v>
      </c>
      <c r="B19" s="6" t="s">
        <v>108</v>
      </c>
      <c r="C19" s="6" t="s">
        <v>109</v>
      </c>
      <c r="D19" s="23" t="s">
        <v>83</v>
      </c>
      <c r="E19" s="5" t="s">
        <v>5</v>
      </c>
    </row>
    <row r="20" customFormat="false" ht="23.85" hidden="false" customHeight="false" outlineLevel="0" collapsed="false">
      <c r="A20" s="5" t="s">
        <v>104</v>
      </c>
      <c r="B20" s="6" t="s">
        <v>110</v>
      </c>
      <c r="C20" s="6" t="s">
        <v>111</v>
      </c>
      <c r="D20" s="25" t="s">
        <v>90</v>
      </c>
      <c r="E20" s="24" t="s">
        <v>3</v>
      </c>
    </row>
    <row r="21" customFormat="false" ht="35.05" hidden="false" customHeight="false" outlineLevel="0" collapsed="false">
      <c r="A21" s="5" t="s">
        <v>104</v>
      </c>
      <c r="B21" s="6" t="s">
        <v>112</v>
      </c>
      <c r="C21" s="6" t="s">
        <v>113</v>
      </c>
      <c r="D21" s="23" t="s">
        <v>83</v>
      </c>
      <c r="E21" s="5" t="s">
        <v>101</v>
      </c>
    </row>
    <row r="22" customFormat="false" ht="15" hidden="false" customHeight="false" outlineLevel="0" collapsed="false">
      <c r="A22" s="5"/>
      <c r="B22" s="6"/>
      <c r="C22" s="6"/>
      <c r="D22" s="5"/>
      <c r="E22" s="5"/>
    </row>
    <row r="23" customFormat="false" ht="15" hidden="false" customHeight="false" outlineLevel="0" collapsed="false">
      <c r="A23" s="22" t="s">
        <v>114</v>
      </c>
      <c r="B23" s="6"/>
      <c r="C23" s="6"/>
      <c r="D23" s="5"/>
      <c r="E23" s="5"/>
    </row>
    <row r="24" customFormat="false" ht="35.05" hidden="false" customHeight="false" outlineLevel="0" collapsed="false">
      <c r="A24" s="5" t="s">
        <v>115</v>
      </c>
      <c r="B24" s="6" t="s">
        <v>116</v>
      </c>
      <c r="C24" s="6" t="s">
        <v>117</v>
      </c>
      <c r="D24" s="26" t="s">
        <v>118</v>
      </c>
      <c r="E24" s="24" t="s">
        <v>3</v>
      </c>
    </row>
    <row r="25" customFormat="false" ht="35.05" hidden="false" customHeight="false" outlineLevel="0" collapsed="false">
      <c r="A25" s="5" t="s">
        <v>119</v>
      </c>
      <c r="B25" s="6" t="s">
        <v>120</v>
      </c>
      <c r="C25" s="6" t="s">
        <v>121</v>
      </c>
      <c r="D25" s="23" t="s">
        <v>83</v>
      </c>
      <c r="E25" s="24" t="s">
        <v>3</v>
      </c>
    </row>
    <row r="26" customFormat="false" ht="35.05" hidden="false" customHeight="false" outlineLevel="0" collapsed="false">
      <c r="A26" s="5" t="s">
        <v>122</v>
      </c>
      <c r="B26" s="6" t="s">
        <v>123</v>
      </c>
      <c r="C26" s="6" t="s">
        <v>124</v>
      </c>
      <c r="D26" s="25" t="s">
        <v>90</v>
      </c>
      <c r="E26" s="5" t="s">
        <v>4</v>
      </c>
    </row>
    <row r="27" customFormat="false" ht="35.05" hidden="false" customHeight="false" outlineLevel="0" collapsed="false">
      <c r="A27" s="5" t="s">
        <v>125</v>
      </c>
      <c r="B27" s="6" t="s">
        <v>126</v>
      </c>
      <c r="C27" s="6" t="s">
        <v>127</v>
      </c>
      <c r="D27" s="23" t="s">
        <v>83</v>
      </c>
      <c r="E27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8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3" t="s">
        <v>131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132</v>
      </c>
      <c r="B5" s="27" t="s">
        <v>133</v>
      </c>
      <c r="C5" s="6" t="s">
        <v>134</v>
      </c>
      <c r="D5" s="6" t="s">
        <v>135</v>
      </c>
      <c r="E5" s="6" t="s">
        <v>136</v>
      </c>
    </row>
    <row r="6" customFormat="false" ht="46.25" hidden="false" customHeight="false" outlineLevel="0" collapsed="false">
      <c r="A6" s="4" t="s">
        <v>137</v>
      </c>
      <c r="B6" s="28" t="s">
        <v>138</v>
      </c>
      <c r="C6" s="6" t="s">
        <v>139</v>
      </c>
      <c r="D6" s="6" t="s">
        <v>140</v>
      </c>
      <c r="E6" s="6" t="s">
        <v>141</v>
      </c>
    </row>
    <row r="7" customFormat="false" ht="46.25" hidden="false" customHeight="false" outlineLevel="0" collapsed="false">
      <c r="A7" s="4" t="s">
        <v>142</v>
      </c>
      <c r="B7" s="27" t="s">
        <v>143</v>
      </c>
      <c r="C7" s="6" t="s">
        <v>144</v>
      </c>
      <c r="D7" s="6" t="s">
        <v>145</v>
      </c>
      <c r="E7" s="6" t="s">
        <v>146</v>
      </c>
    </row>
    <row r="8" customFormat="false" ht="46.25" hidden="false" customHeight="false" outlineLevel="0" collapsed="false">
      <c r="A8" s="4" t="s">
        <v>147</v>
      </c>
      <c r="B8" s="27" t="s">
        <v>148</v>
      </c>
      <c r="C8" s="6" t="s">
        <v>149</v>
      </c>
      <c r="D8" s="6" t="s">
        <v>150</v>
      </c>
      <c r="E8" s="6" t="s">
        <v>151</v>
      </c>
    </row>
    <row r="9" customFormat="false" ht="46.25" hidden="false" customHeight="false" outlineLevel="0" collapsed="false">
      <c r="A9" s="4" t="s">
        <v>152</v>
      </c>
      <c r="B9" s="28" t="s">
        <v>153</v>
      </c>
      <c r="C9" s="6" t="s">
        <v>154</v>
      </c>
      <c r="D9" s="6" t="s">
        <v>155</v>
      </c>
      <c r="E9" s="6" t="s">
        <v>156</v>
      </c>
    </row>
    <row r="10" customFormat="false" ht="46.25" hidden="false" customHeight="false" outlineLevel="0" collapsed="false">
      <c r="A10" s="4" t="s">
        <v>24</v>
      </c>
      <c r="B10" s="27" t="s">
        <v>157</v>
      </c>
      <c r="C10" s="6" t="s">
        <v>158</v>
      </c>
      <c r="D10" s="6" t="s">
        <v>159</v>
      </c>
      <c r="E10" s="6" t="s">
        <v>160</v>
      </c>
    </row>
    <row r="11" customFormat="false" ht="57.45" hidden="false" customHeight="false" outlineLevel="0" collapsed="false">
      <c r="A11" s="4" t="s">
        <v>161</v>
      </c>
      <c r="B11" s="28" t="s">
        <v>162</v>
      </c>
      <c r="C11" s="6" t="s">
        <v>163</v>
      </c>
      <c r="D11" s="6" t="s">
        <v>164</v>
      </c>
      <c r="E11" s="6" t="s">
        <v>165</v>
      </c>
    </row>
    <row r="12" customFormat="false" ht="46.25" hidden="false" customHeight="false" outlineLevel="0" collapsed="false">
      <c r="A12" s="4" t="s">
        <v>166</v>
      </c>
      <c r="B12" s="27" t="s">
        <v>167</v>
      </c>
      <c r="C12" s="6" t="s">
        <v>168</v>
      </c>
      <c r="D12" s="6" t="s">
        <v>169</v>
      </c>
      <c r="E12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2026-03-01T21:04:59Z</dcterms:created>
  <dc:creator>openpyxl</dc:creator>
  <dc:description/>
  <dc:language>en-US</dc:language>
  <cp:lastModifiedBy/>
  <dcterms:modified xsi:type="dcterms:W3CDTF">2026-03-01T21:04:59Z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