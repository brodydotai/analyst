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iner Amplification Ratio" sheetId="1" state="visible" r:id="rId3"/>
    <sheet name="Amplification Ratios" sheetId="2" state="visible" r:id="rId4"/>
    <sheet name="Cross-Metal Expansion" sheetId="3" state="visible" r:id="rId5"/>
    <sheet name="Expansion Phase Framework" sheetId="4" state="visible" r:id="rId6"/>
    <sheet name="Why Multiples Expan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<sst xmlns="http://schemas.openxmlformats.org/spreadsheetml/2006/main" count="198" uniqueCount="175">
  <si>
    <t xml:space="preserve">Miner vs. Spot Price — Amplification Ratio Analysis</t>
  </si>
  <si>
    <t xml:space="preserve">Measures how many x miners move relative to spot commodity. Ratio &gt;1.0 = multiple expansion. Rising ratio = accelerating expansion.</t>
  </si>
  <si>
    <t xml:space="preserve">Source: TradingView, Yahoo Finance, company filings. Approximate monthly closes.</t>
  </si>
  <si>
    <t xml:space="preserve">Period</t>
  </si>
  <si>
    <t xml:space="preserve">HG1! (Cu
Spot $/lb)</t>
  </si>
  <si>
    <t xml:space="preserve">COPX
(Cu Miners)</t>
  </si>
  <si>
    <t xml:space="preserve">FCX</t>
  </si>
  <si>
    <t xml:space="preserve">SCCO</t>
  </si>
  <si>
    <t xml:space="preserve">TECK</t>
  </si>
  <si>
    <t xml:space="preserve">GLD
(Gold Spot)</t>
  </si>
  <si>
    <t xml:space="preserve">GDX
(Gold Miners)</t>
  </si>
  <si>
    <t xml:space="preserve">SLV
(Silver)</t>
  </si>
  <si>
    <t xml:space="preserve">SIL
(Silver Miners)</t>
  </si>
  <si>
    <t xml:space="preserve">Notes</t>
  </si>
  <si>
    <t xml:space="preserve">Mar-25</t>
  </si>
  <si>
    <t xml:space="preserve">Base period start</t>
  </si>
  <si>
    <t xml:space="preserve">Apr-25</t>
  </si>
  <si>
    <t xml:space="preserve">Cu breaks $4.80; tariff fears emerge</t>
  </si>
  <si>
    <t xml:space="preserve">May-25</t>
  </si>
  <si>
    <t xml:space="preserve">Section 232 Cu investigation announced</t>
  </si>
  <si>
    <t xml:space="preserve">Jun-25</t>
  </si>
  <si>
    <t xml:space="preserve">Cu above $5; miner breakout begins</t>
  </si>
  <si>
    <t xml:space="preserve">Jul-25</t>
  </si>
  <si>
    <t xml:space="preserve">Summer consolidation</t>
  </si>
  <si>
    <t xml:space="preserve">Aug-25</t>
  </si>
  <si>
    <t xml:space="preserve">Section 232 Cu tariffs take effect</t>
  </si>
  <si>
    <t xml:space="preserve">Sep-25</t>
  </si>
  <si>
    <t xml:space="preserve">China demand wobble; brief pullback</t>
  </si>
  <si>
    <t xml:space="preserve">Oct-25</t>
  </si>
  <si>
    <t xml:space="preserve">Q3 earnings beats; guidance raises</t>
  </si>
  <si>
    <t xml:space="preserve">Nov-25</t>
  </si>
  <si>
    <t xml:space="preserve">AI demand narrative accelerates</t>
  </si>
  <si>
    <t xml:space="preserve">Dec-25</t>
  </si>
  <si>
    <t xml:space="preserve">Year-end; Cu +40% for 2025</t>
  </si>
  <si>
    <t xml:space="preserve">Jan-26</t>
  </si>
  <si>
    <t xml:space="preserve">New year momentum; deficit forecasts</t>
  </si>
  <si>
    <t xml:space="preserve">Feb-26</t>
  </si>
  <si>
    <t xml:space="preserve">Iran strikes; energy shock; Cu near $6</t>
  </si>
  <si>
    <t xml:space="preserve">Mar-26</t>
  </si>
  <si>
    <t xml:space="preserve">Current (Mar 1 2026)</t>
  </si>
  <si>
    <t xml:space="preserve">Miner Amplification Ratios — How Many x Do Miners Move vs Spot?</t>
  </si>
  <si>
    <t xml:space="preserve">Amplification = (Miner % change from base) / (Spot % change from base). Ratio &gt;1.0x = miners outperforming commodity.</t>
  </si>
  <si>
    <t xml:space="preserve">A RISING ratio means multiple expansion is ACCELERATING. A flat ratio means miners are tracking spot. A falling ratio means miners are lagging.</t>
  </si>
  <si>
    <t xml:space="preserve">Cu Spot
% Chg</t>
  </si>
  <si>
    <t xml:space="preserve">COPX
% Chg</t>
  </si>
  <si>
    <t xml:space="preserve">COPX
Amplif.</t>
  </si>
  <si>
    <t xml:space="preserve">FCX
% Chg</t>
  </si>
  <si>
    <t xml:space="preserve">FCX
Amplif.</t>
  </si>
  <si>
    <t xml:space="preserve">GLD
% Chg</t>
  </si>
  <si>
    <t xml:space="preserve">GDX
% Chg</t>
  </si>
  <si>
    <t xml:space="preserve">GDX
Amplif.</t>
  </si>
  <si>
    <t xml:space="preserve">SIL
Amplif.</t>
  </si>
  <si>
    <t xml:space="preserve">Signal</t>
  </si>
  <si>
    <t xml:space="preserve">BASE</t>
  </si>
  <si>
    <t xml:space="preserve">Miners tracking spot; normal beta</t>
  </si>
  <si>
    <t xml:space="preserve">COPX starting to outpace; FCX leading</t>
  </si>
  <si>
    <t xml:space="preserve">Amplification accelerating; gold miners catching up</t>
  </si>
  <si>
    <t xml:space="preserve">Brief pause; China fears; ratios compress</t>
  </si>
  <si>
    <t xml:space="preserve">Breakout resumes; Q3 earnings catalyst</t>
  </si>
  <si>
    <t xml:space="preserve">Acceleration phase; all metals miners outperforming</t>
  </si>
  <si>
    <t xml:space="preserve">Broad-based; gold miners amplifying most aggressively</t>
  </si>
  <si>
    <t xml:space="preserve">Year-end; COPX at 1.5-1.7x, GDX at 2.0-2.5x</t>
  </si>
  <si>
    <t xml:space="preserve">New year; amplification continues widening</t>
  </si>
  <si>
    <t xml:space="preserve">Iran shock; energy + geopolitics = amplification spike</t>
  </si>
  <si>
    <t xml:space="preserve">Current: COPX ~2.8x, FCX ~2.6x, GDX ~1.8x</t>
  </si>
  <si>
    <t xml:space="preserve">Cross-Metal Multiple Expansion — Is This Happening Everywhere?</t>
  </si>
  <si>
    <t xml:space="preserve">Comparing miner amplification ratios across metals to identify if this is a broad trend or copper-specific.</t>
  </si>
  <si>
    <t xml:space="preserve">Metal / Metric</t>
  </si>
  <si>
    <t xml:space="preserve">Spot 12M
Return</t>
  </si>
  <si>
    <t xml:space="preserve">Miner ETF
12M Return</t>
  </si>
  <si>
    <t xml:space="preserve">Amplification
Ratio</t>
  </si>
  <si>
    <t xml:space="preserve">Current
EV/EBITDA</t>
  </si>
  <si>
    <t xml:space="preserve">Historical Avg
EV/EBITDA</t>
  </si>
  <si>
    <t xml:space="preserve">Assessment</t>
  </si>
  <si>
    <t xml:space="preserve">COPPER</t>
  </si>
  <si>
    <t xml:space="preserve">  Copper Spot (HG1!)</t>
  </si>
  <si>
    <t xml:space="preserve">  COPX (Copper Miners ETF)</t>
  </si>
  <si>
    <t xml:space="preserve">  Amplification (COPX/Spot)</t>
  </si>
  <si>
    <t xml:space="preserve">  FCX (Freeport-McMoRan)</t>
  </si>
  <si>
    <t xml:space="preserve">Trading 39% above historical avg EV/EBITDA</t>
  </si>
  <si>
    <t xml:space="preserve">  SCCO (Southern Copper)</t>
  </si>
  <si>
    <t xml:space="preserve">Trading 32% above historical avg</t>
  </si>
  <si>
    <t xml:space="preserve">GOLD</t>
  </si>
  <si>
    <t xml:space="preserve">  Gold Spot (GLD)</t>
  </si>
  <si>
    <t xml:space="preserve">  GDX (Gold Miners ETF)</t>
  </si>
  <si>
    <t xml:space="preserve">  Amplification (GDX/Gold)</t>
  </si>
  <si>
    <t xml:space="preserve">  NEM (Newmont)</t>
  </si>
  <si>
    <t xml:space="preserve">Modest premium to historical</t>
  </si>
  <si>
    <t xml:space="preserve">  GOLD (Barrick)</t>
  </si>
  <si>
    <t xml:space="preserve">Moderate expansion</t>
  </si>
  <si>
    <t xml:space="preserve">SILVER</t>
  </si>
  <si>
    <t xml:space="preserve">  Silver Spot (SLV)</t>
  </si>
  <si>
    <t xml:space="preserve">  SIL (Silver Miners ETF)</t>
  </si>
  <si>
    <t xml:space="preserve">  Amplification (SIL/Silver)</t>
  </si>
  <si>
    <t xml:space="preserve">URANIUM</t>
  </si>
  <si>
    <t xml:space="preserve">  Uranium Spot (SRUUF)</t>
  </si>
  <si>
    <t xml:space="preserve">  URNM (Uranium Miners ETF)</t>
  </si>
  <si>
    <t xml:space="preserve">  Amplification (URNM/Spot)</t>
  </si>
  <si>
    <t xml:space="preserve">LITHIUM</t>
  </si>
  <si>
    <t xml:space="preserve">  Lithium Spot</t>
  </si>
  <si>
    <t xml:space="preserve">  LIT (Lithium Miners ETF)</t>
  </si>
  <si>
    <t xml:space="preserve">  Amplification (LIT/Spot)</t>
  </si>
  <si>
    <t xml:space="preserve">Mining Stock Multiple Expansion — Phase Framework</t>
  </si>
  <si>
    <t xml:space="preserve">Where are we in the cycle? Historical pattern analysis of miner-to-spot amplification.</t>
  </si>
  <si>
    <t xml:space="preserve">Phase</t>
  </si>
  <si>
    <t xml:space="preserve">Duration
(typical)</t>
  </si>
  <si>
    <t xml:space="preserve">What Drives It</t>
  </si>
  <si>
    <t xml:space="preserve">Historical
Examples</t>
  </si>
  <si>
    <t xml:space="preserve">Current Signal
(Mar 2026)</t>
  </si>
  <si>
    <t xml:space="preserve">Phase 1: RECOGNITION
(Early Innings)</t>
  </si>
  <si>
    <t xml:space="preserve">1.0-1.5x</t>
  </si>
  <si>
    <t xml:space="preserve">6-12 months</t>
  </si>
  <si>
    <t xml:space="preserve">Spot price rises.
Miners lag initially.
Market skeptical —
"is this sustainable?"</t>
  </si>
  <si>
    <t xml:space="preserve">Cu 2020-21 (post-COVID)
Gold 2019 (pre-breakout)
Uranium 2023</t>
  </si>
  <si>
    <t xml:space="preserve">COPPER: Passed this phase
in mid-2025 when Cu
broke above $5/lb.</t>
  </si>
  <si>
    <t xml:space="preserve">Phase 2: CONVICTION
(Acceleration)</t>
  </si>
  <si>
    <t xml:space="preserve">1.5-2.5x</t>
  </si>
  <si>
    <t xml:space="preserve">6-18 months</t>
  </si>
  <si>
    <t xml:space="preserve">Earnings beats confirm
higher prices flow to
margins. Analysts raise
estimates. M&amp;A heats up.
Generalist funds enter.</t>
  </si>
  <si>
    <t xml:space="preserve">Cu 2021 (COPX doubled
while Cu up 40%)
Gold 2024-25 (GDX
outpaced GLD 2:1)</t>
  </si>
  <si>
    <t xml:space="preserve">COPPER: WE ARE HERE.
COPX ~2.8x amplification.
FCX at 10x vs 7x hist.
M&amp;A volume up 214%.</t>
  </si>
  <si>
    <t xml:space="preserve">Phase 3: EUPHORIA
(Late Stage)</t>
  </si>
  <si>
    <t xml:space="preserve">2.5-4.0x</t>
  </si>
  <si>
    <t xml:space="preserve">3-12 months</t>
  </si>
  <si>
    <t xml:space="preserve">Retail inflows surge.
Junior miners explode.
M&amp;A premiums spike.
New IPOs. "This time
is different" narrative.</t>
  </si>
  <si>
    <t xml:space="preserve">Cu 2007 (miners 4x
copper return)
Gold 2011 (GDX peaked
at 12x EV/EBITDA)
Lithium 2022</t>
  </si>
  <si>
    <t xml:space="preserve">COPPER: Not here yet.
Junior miners NOT
leading. Retail flows
modest. IPO pipeline
thin.</t>
  </si>
  <si>
    <t xml:space="preserve">Phase 4: EXHAUSTION
(Top)</t>
  </si>
  <si>
    <t xml:space="preserve">4.0x+ then
collapse</t>
  </si>
  <si>
    <t xml:space="preserve">1-3 months</t>
  </si>
  <si>
    <t xml:space="preserve">Miners price in 5+ years
of current prices.
Cost inflation catches up.
New supply announced.
Sentiment peaks.</t>
  </si>
  <si>
    <t xml:space="preserve">Cu Q1 2022 (COPX fell
40% while Cu fell 25%)
Gold 2012 (GDX crashed
60% vs gold -28%)
Lithium 2023</t>
  </si>
  <si>
    <t xml:space="preserve">COPPER: Nowhere close.
Miners still pricing
current earnings, not
5yr forward. Cost
discipline intact.</t>
  </si>
  <si>
    <t xml:space="preserve">SUMMARY: WHERE ARE WE?</t>
  </si>
  <si>
    <t xml:space="preserve">Copper Miners</t>
  </si>
  <si>
    <t xml:space="preserve">Phase 2 — Mid-cycle acceleration. Amplification ~2.5-3.0x and rising. Historically this phase lasts 6-18 months and we're ~9 months in (started mid-2025). Could have 6-12 months of expansion left before Phase 3 euphoria. Key tell: when junior copper miners start outperforming majors and COPX, we've entered Phase 3.</t>
  </si>
  <si>
    <t xml:space="preserve">Gold Miners</t>
  </si>
  <si>
    <t xml:space="preserve">Phase 2/3 — Late acceleration approaching euphoria. GDX returned 155% in 2025 vs gold +65%. Amplification ~1.8x and rising. Gold miners are further along than copper miners in the expansion cycle because gold broke out earlier (2024). The 8x EV/EBITDA for NEM is approaching but not yet at the 10-12x euphoria levels of 2011.</t>
  </si>
  <si>
    <t xml:space="preserve">Silver Miners</t>
  </si>
  <si>
    <t xml:space="preserve">Phase 2 — Tracking gold with a lag. Silver historically follows gold with a 3-6 month delay. SIL amplification of ~1.9x suggests mid-cycle positioning. Silver miners tend to have the most explosive Phase 3 because of higher operating leverage and greater retail participation.</t>
  </si>
  <si>
    <t xml:space="preserve">Uranium Miners</t>
  </si>
  <si>
    <t xml:space="preserve">Phase 2 — Early acceleration. Uranium spot has been range-bound but URNM is outperforming 3:1, suggesting the market is pricing in the contract pipeline. Nuclear renaissance narrative + AI power demand. Could be the earliest innings of any metal.</t>
  </si>
  <si>
    <t xml:space="preserve">Lithium</t>
  </si>
  <si>
    <t xml:space="preserve">Phase 4 hangover — still recovering. Lithium spot is down 10% but miners only down 5%, suggesting the worst may be over. This is what the END of a cycle looks like — and it serves as a reminder that copper miners will eventually get here too. The question is whether that's 2027 or 2029.</t>
  </si>
  <si>
    <t xml:space="preserve">Why Mining Stock Multiples Expand Relative to Spot Prices</t>
  </si>
  <si>
    <t xml:space="preserve">The mechanical and behavioral reasons miners outperform their underlying commodity.</t>
  </si>
  <si>
    <t xml:space="preserve">OPERATING LEVERAGE (MECHANICAL)</t>
  </si>
  <si>
    <t xml:space="preserve">Fixed Cost Structure</t>
  </si>
  <si>
    <t xml:space="preserve">A mine's costs are ~70% fixed (labor, equipment, energy, G&amp;A). Only ~30% varies with production. So when copper goes from $4 to $6 (+50%), costs don't move proportionally. A miner with $3/lb AISC sees margin go from $1/lb to $3/lb — that's a 200% margin increase on a 50% price increase. This is 4x operating leverage at the EBITDA level.</t>
  </si>
  <si>
    <t xml:space="preserve">Reserves Revaluation</t>
  </si>
  <si>
    <t xml:space="preserve">At $4/lb copper, a deposit with 500M lbs of reserves at $3.50/lb AISC has $250M in NPV. At $6/lb, the same deposit has $1.25B in NPV — a 5x increase from a 50% commodity move. Every mining company sits on reserves that are marked up by the market as spot prices rise.</t>
  </si>
  <si>
    <t xml:space="preserve">Marginal Production Economics</t>
  </si>
  <si>
    <t xml:space="preserve">At higher prices, previously uneconomic ore becomes economic. FCX's leach innovation program extracts copper from stockpiles that were worthless at $3.50/lb but highly profitable at $5.90/lb. This is FREE production growth — no new mine needed, no capex, just higher prices unlocking existing resources.</t>
  </si>
  <si>
    <t xml:space="preserve">Byproduct Credits</t>
  </si>
  <si>
    <t xml:space="preserve">Most copper miners also produce gold, silver, molybdenum, cobalt. When all commodity prices rise simultaneously (as they are now), byproduct credits amplify further. FCX gets ~$0.50/lb in gold/moly credits. SCCO gets significant silver/moly credits. These credits lower effective copper cost.</t>
  </si>
  <si>
    <t xml:space="preserve">BEHAVIORAL / FLOW DRIVEN</t>
  </si>
  <si>
    <t xml:space="preserve">Generalist Fund Rotation</t>
  </si>
  <si>
    <t xml:space="preserve">When a commodity breaks out, sector-specialist funds buy first (Phase 1). Then generalist growth/value funds rotate in as earnings beats confirm (Phase 2). Finally, retail and passive flows arrive (Phase 3). Each wave bids multiples higher because demand for mining equities increases faster than supply of shares.</t>
  </si>
  <si>
    <t xml:space="preserve">Analyst Estimate Revisions</t>
  </si>
  <si>
    <t xml:space="preserve">Wall Street estimates lag commodity prices by 3-6 months. When copper moves from $4.50 to $5.90 in a year, analysts don't immediately mark estimates to spot. They use conservative "deck prices" ($4.75-5.25). As actual results beat these conservative estimates quarter after quarter, analysts raise both earnings AND target multiples. Double expansion.</t>
  </si>
  <si>
    <t xml:space="preserve">M&amp;A Premium Bid</t>
  </si>
  <si>
    <t xml:space="preserve">When commodity prices are high, acquirers become more willing to pay premiums. The 214% increase in base metals M&amp;A in 2025 ($45.7B) signals that strategic buyers value these assets more highly than the public market. Every takeover bid resets the floor for peer valuations.</t>
  </si>
  <si>
    <t xml:space="preserve">Duration Premium</t>
  </si>
  <si>
    <t xml:space="preserve">The market is currently pricing a STRUCTURAL copper deficit, not a cyclical one. When investors believe high prices will persist for 5-10 years (energy transition, AI, grid buildout), they're willing to pay a higher multiple for current earnings because they believe the earnings are sustainable. This is fundamentally different from a cyclical commodity bounce.</t>
  </si>
  <si>
    <t xml:space="preserve">Scarcity of Investable Assets</t>
  </si>
  <si>
    <t xml:space="preserve">There are only ~15 liquid, investable copper miners globally. As generalist funds rotate into the copper theme, they're all buying the same small universe of stocks. FCX alone absorbs a huge share of flows. The supply/demand imbalance in equities (too much money chasing too few stocks) independently drives multiple expansion.</t>
  </si>
  <si>
    <t xml:space="preserve">WHAT KILLS THE EXPANSION</t>
  </si>
  <si>
    <t xml:space="preserve">Cost Inflation Catches Up</t>
  </si>
  <si>
    <t xml:space="preserve">Mining costs rise with a lag — diesel, labor, explosives, tires all inflate after commodity prices rise. If costs rise as fast as revenue, margin expansion reverses. This typically takes 18-24 months to fully manifest.</t>
  </si>
  <si>
    <t xml:space="preserve">New Supply Announcements</t>
  </si>
  <si>
    <t xml:space="preserve">When copper is at $6/lb, every mothballed project gets restarted and new projects get FID. The market starts discounting future supply surplus before the mines actually produce. Forward curve inversion = death of duration premium.</t>
  </si>
  <si>
    <t xml:space="preserve">China Demand Shock</t>
  </si>
  <si>
    <t xml:space="preserve">China is 50% of copper demand. A meaningful slowdown (property crisis, trade war) can overwhelm structural deficit theses. This is the permanent risk for any commodity bull case.</t>
  </si>
  <si>
    <t xml:space="preserve">Rotation Out / Risk-Off</t>
  </si>
  <si>
    <t xml:space="preserve">If the AI trade broadens or a geopolitical event (Iran escalation → recession) causes broad risk-off, mining stocks de-rate faster than the commodity because equities have higher beta to sentiment than physical commodities.</t>
  </si>
</sst>
</file>

<file path=xl/styles.xml><?xml version="1.0" encoding="utf-8"?>
<styleSheet xmlns="http://schemas.openxmlformats.org/spreadsheetml/2006/main">
  <numFmts count="5">
    <numFmt numFmtId="164" formatCode="General"/>
    <numFmt numFmtId="165" formatCode="\$#,##0.00"/>
    <numFmt numFmtId="166" formatCode="\$#,##0"/>
    <numFmt numFmtId="167" formatCode="0.0%"/>
    <numFmt numFmtId="168" formatCode="0.0\x"/>
  </numFmts>
  <fonts count="10">
    <font>
      <sz val="11"/>
      <color theme="1"/>
      <name val="Calibri"/>
      <family val="2"/>
      <charset val="1"/>
    </font>
    <font>
      <sz val="10"/>
      <name val="Arial"/>
      <family val="0"/>
    </font>
    <font>
      <sz val="10"/>
      <name val="Arial"/>
      <family val="0"/>
    </font>
    <font>
      <sz val="10"/>
      <name val="Arial"/>
      <family val="0"/>
    </font>
    <font>
      <b val="true"/>
      <sz val="13"/>
      <color rgb="FF000000"/>
      <name val="Arial"/>
      <family val="0"/>
      <charset val="1"/>
    </font>
    <font>
      <i val="true"/>
      <sz val="9"/>
      <color rgb="FF666666"/>
      <name val="Arial"/>
      <family val="0"/>
      <charset val="1"/>
    </font>
    <font>
      <b val="true"/>
      <sz val="10"/>
      <color rgb="FFFFFFFF"/>
      <name val="Arial"/>
      <family val="0"/>
      <charset val="1"/>
    </font>
    <font>
      <b val="true"/>
      <sz val="10"/>
      <color rgb="FF000000"/>
      <name val="Arial"/>
      <family val="0"/>
      <charset val="1"/>
    </font>
    <font>
      <sz val="10"/>
      <color rgb="FF0000FF"/>
      <name val="Arial"/>
      <family val="0"/>
      <charset val="1"/>
    </font>
    <font>
      <sz val="10"/>
      <color rgb="FF000000"/>
      <name val="Arial"/>
      <family val="0"/>
      <charset val="1"/>
    </font>
  </fonts>
  <fills count="7">
    <fill>
      <patternFill patternType="none"/>
    </fill>
    <fill>
      <patternFill patternType="gray125"/>
    </fill>
    <fill>
      <patternFill patternType="solid">
        <fgColor rgb="FF2F5496"/>
        <bgColor rgb="FF0066CC"/>
      </patternFill>
    </fill>
    <fill>
      <patternFill patternType="solid">
        <fgColor rgb="FFFFF3CD"/>
        <bgColor rgb="FFFCE4EC"/>
      </patternFill>
    </fill>
    <fill>
      <patternFill patternType="solid">
        <fgColor rgb="FFD6E4F0"/>
        <bgColor rgb="FFFCE4EC"/>
      </patternFill>
    </fill>
    <fill>
      <patternFill patternType="solid">
        <fgColor rgb="FFFFFF00"/>
        <bgColor rgb="FFFFFF00"/>
      </patternFill>
    </fill>
    <fill>
      <patternFill patternType="solid">
        <fgColor rgb="FFFCE4EC"/>
        <bgColor rgb="FFFFF3C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5" fontId="8" fillId="0" borderId="0" xfId="0" applyFont="true" applyBorder="false" applyAlignment="true" applyProtection="false">
      <alignment horizontal="center" vertical="center" textRotation="0" wrapText="true" indent="0" shrinkToFit="false"/>
      <protection locked="true" hidden="false"/>
    </xf>
    <xf numFmtId="166" fontId="8" fillId="0"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5" fontId="8" fillId="3" borderId="0" xfId="0" applyFont="true" applyBorder="false" applyAlignment="true" applyProtection="false">
      <alignment horizontal="center" vertical="center" textRotation="0" wrapText="true" indent="0" shrinkToFit="false"/>
      <protection locked="true" hidden="false"/>
    </xf>
    <xf numFmtId="166" fontId="8" fillId="3"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7" fontId="9" fillId="0" borderId="0" xfId="0" applyFont="true" applyBorder="false" applyAlignment="true" applyProtection="false">
      <alignment horizontal="center" vertical="center" textRotation="0" wrapText="true" indent="0" shrinkToFit="false"/>
      <protection locked="true" hidden="false"/>
    </xf>
    <xf numFmtId="168" fontId="7" fillId="0" borderId="0" xfId="0" applyFont="true" applyBorder="false" applyAlignment="true" applyProtection="false">
      <alignment horizontal="center" vertical="center" textRotation="0" wrapText="true" indent="0" shrinkToFit="false"/>
      <protection locked="true" hidden="false"/>
    </xf>
    <xf numFmtId="167" fontId="9" fillId="3" borderId="0" xfId="0" applyFont="true" applyBorder="false" applyAlignment="true" applyProtection="false">
      <alignment horizontal="center" vertical="center" textRotation="0" wrapText="true" indent="0" shrinkToFit="false"/>
      <protection locked="true" hidden="false"/>
    </xf>
    <xf numFmtId="168" fontId="7" fillId="3"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left" vertical="center" textRotation="0" wrapText="tru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7" fontId="8" fillId="0" borderId="0" xfId="0" applyFont="true" applyBorder="false" applyAlignment="true" applyProtection="false">
      <alignment horizontal="center" vertical="center" textRotation="0" wrapText="true" indent="0" shrinkToFit="false"/>
      <protection locked="true" hidden="false"/>
    </xf>
    <xf numFmtId="168" fontId="7" fillId="5" borderId="0" xfId="0" applyFont="true" applyBorder="fals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left" vertical="center" textRotation="0" wrapText="true" indent="0" shrinkToFit="false"/>
      <protection locked="true" hidden="false"/>
    </xf>
    <xf numFmtId="164" fontId="9" fillId="5" borderId="0" xfId="0" applyFont="true" applyBorder="false" applyAlignment="true" applyProtection="false">
      <alignment horizontal="left" vertical="center"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10" min="2" style="0" width="14"/>
    <col collapsed="false" customWidth="true" hidden="false" outlineLevel="0" max="11" min="11" style="0" width="42"/>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23.85" hidden="false" customHeight="false" outlineLevel="0" collapsed="false">
      <c r="A5" s="3" t="s">
        <v>3</v>
      </c>
      <c r="B5" s="3" t="s">
        <v>4</v>
      </c>
      <c r="C5" s="3" t="s">
        <v>5</v>
      </c>
      <c r="D5" s="3" t="s">
        <v>6</v>
      </c>
      <c r="E5" s="3" t="s">
        <v>7</v>
      </c>
      <c r="F5" s="3" t="s">
        <v>8</v>
      </c>
      <c r="G5" s="3" t="s">
        <v>9</v>
      </c>
      <c r="H5" s="3" t="s">
        <v>10</v>
      </c>
      <c r="I5" s="3" t="s">
        <v>11</v>
      </c>
      <c r="J5" s="3" t="s">
        <v>12</v>
      </c>
      <c r="K5" s="3" t="s">
        <v>13</v>
      </c>
    </row>
    <row r="6" customFormat="false" ht="15" hidden="false" customHeight="false" outlineLevel="0" collapsed="false">
      <c r="A6" s="4" t="s">
        <v>14</v>
      </c>
      <c r="B6" s="5" t="n">
        <v>4.65</v>
      </c>
      <c r="C6" s="5" t="n">
        <v>51.5</v>
      </c>
      <c r="D6" s="5" t="n">
        <v>38.2</v>
      </c>
      <c r="E6" s="5" t="n">
        <v>106</v>
      </c>
      <c r="F6" s="5" t="n">
        <v>48.5</v>
      </c>
      <c r="G6" s="6" t="n">
        <v>271</v>
      </c>
      <c r="H6" s="5" t="n">
        <v>42.5</v>
      </c>
      <c r="I6" s="5" t="n">
        <v>30.5</v>
      </c>
      <c r="J6" s="5" t="n">
        <v>42</v>
      </c>
      <c r="K6" s="7" t="s">
        <v>15</v>
      </c>
    </row>
    <row r="7" customFormat="false" ht="15" hidden="false" customHeight="false" outlineLevel="0" collapsed="false">
      <c r="A7" s="4" t="s">
        <v>16</v>
      </c>
      <c r="B7" s="5" t="n">
        <v>4.8</v>
      </c>
      <c r="C7" s="5" t="n">
        <v>54</v>
      </c>
      <c r="D7" s="5" t="n">
        <v>40.5</v>
      </c>
      <c r="E7" s="5" t="n">
        <v>112</v>
      </c>
      <c r="F7" s="5" t="n">
        <v>49.8</v>
      </c>
      <c r="G7" s="6" t="n">
        <v>285</v>
      </c>
      <c r="H7" s="5" t="n">
        <v>46</v>
      </c>
      <c r="I7" s="5" t="n">
        <v>31.2</v>
      </c>
      <c r="J7" s="5" t="n">
        <v>44.5</v>
      </c>
      <c r="K7" s="7" t="s">
        <v>17</v>
      </c>
    </row>
    <row r="8" customFormat="false" ht="15" hidden="false" customHeight="false" outlineLevel="0" collapsed="false">
      <c r="A8" s="4" t="s">
        <v>18</v>
      </c>
      <c r="B8" s="5" t="n">
        <v>4.95</v>
      </c>
      <c r="C8" s="5" t="n">
        <v>57.8</v>
      </c>
      <c r="D8" s="5" t="n">
        <v>43.1</v>
      </c>
      <c r="E8" s="5" t="n">
        <v>118</v>
      </c>
      <c r="F8" s="5" t="n">
        <v>51.2</v>
      </c>
      <c r="G8" s="6" t="n">
        <v>298</v>
      </c>
      <c r="H8" s="5" t="n">
        <v>50.5</v>
      </c>
      <c r="I8" s="5" t="n">
        <v>33</v>
      </c>
      <c r="J8" s="5" t="n">
        <v>48</v>
      </c>
      <c r="K8" s="7" t="s">
        <v>19</v>
      </c>
    </row>
    <row r="9" customFormat="false" ht="15" hidden="false" customHeight="false" outlineLevel="0" collapsed="false">
      <c r="A9" s="4" t="s">
        <v>20</v>
      </c>
      <c r="B9" s="5" t="n">
        <v>5.1</v>
      </c>
      <c r="C9" s="5" t="n">
        <v>61.5</v>
      </c>
      <c r="D9" s="5" t="n">
        <v>46.8</v>
      </c>
      <c r="E9" s="5" t="n">
        <v>125</v>
      </c>
      <c r="F9" s="5" t="n">
        <v>52.5</v>
      </c>
      <c r="G9" s="6" t="n">
        <v>310</v>
      </c>
      <c r="H9" s="5" t="n">
        <v>54.2</v>
      </c>
      <c r="I9" s="5" t="n">
        <v>34.8</v>
      </c>
      <c r="J9" s="5" t="n">
        <v>51.5</v>
      </c>
      <c r="K9" s="7" t="s">
        <v>21</v>
      </c>
    </row>
    <row r="10" customFormat="false" ht="15" hidden="false" customHeight="false" outlineLevel="0" collapsed="false">
      <c r="A10" s="4" t="s">
        <v>22</v>
      </c>
      <c r="B10" s="5" t="n">
        <v>5.15</v>
      </c>
      <c r="C10" s="5" t="n">
        <v>64</v>
      </c>
      <c r="D10" s="5" t="n">
        <v>48.5</v>
      </c>
      <c r="E10" s="5" t="n">
        <v>130</v>
      </c>
      <c r="F10" s="5" t="n">
        <v>53</v>
      </c>
      <c r="G10" s="6" t="n">
        <v>325</v>
      </c>
      <c r="H10" s="5" t="n">
        <v>58</v>
      </c>
      <c r="I10" s="5" t="n">
        <v>35.5</v>
      </c>
      <c r="J10" s="5" t="n">
        <v>53</v>
      </c>
      <c r="K10" s="7" t="s">
        <v>23</v>
      </c>
    </row>
    <row r="11" customFormat="false" ht="15" hidden="false" customHeight="false" outlineLevel="0" collapsed="false">
      <c r="A11" s="4" t="s">
        <v>24</v>
      </c>
      <c r="B11" s="5" t="n">
        <v>5.3</v>
      </c>
      <c r="C11" s="5" t="n">
        <v>68.5</v>
      </c>
      <c r="D11" s="5" t="n">
        <v>51.2</v>
      </c>
      <c r="E11" s="5" t="n">
        <v>140</v>
      </c>
      <c r="F11" s="5" t="n">
        <v>54.5</v>
      </c>
      <c r="G11" s="6" t="n">
        <v>338</v>
      </c>
      <c r="H11" s="5" t="n">
        <v>61.5</v>
      </c>
      <c r="I11" s="5" t="n">
        <v>36.2</v>
      </c>
      <c r="J11" s="5" t="n">
        <v>55.5</v>
      </c>
      <c r="K11" s="7" t="s">
        <v>25</v>
      </c>
    </row>
    <row r="12" customFormat="false" ht="15" hidden="false" customHeight="false" outlineLevel="0" collapsed="false">
      <c r="A12" s="4" t="s">
        <v>26</v>
      </c>
      <c r="B12" s="5" t="n">
        <v>5.25</v>
      </c>
      <c r="C12" s="5" t="n">
        <v>66.8</v>
      </c>
      <c r="D12" s="5" t="n">
        <v>49.8</v>
      </c>
      <c r="E12" s="5" t="n">
        <v>135</v>
      </c>
      <c r="F12" s="5" t="n">
        <v>53.8</v>
      </c>
      <c r="G12" s="6" t="n">
        <v>345</v>
      </c>
      <c r="H12" s="5" t="n">
        <v>63.8</v>
      </c>
      <c r="I12" s="5" t="n">
        <v>35.8</v>
      </c>
      <c r="J12" s="5" t="n">
        <v>56</v>
      </c>
      <c r="K12" s="7" t="s">
        <v>27</v>
      </c>
    </row>
    <row r="13" customFormat="false" ht="15" hidden="false" customHeight="false" outlineLevel="0" collapsed="false">
      <c r="A13" s="4" t="s">
        <v>28</v>
      </c>
      <c r="B13" s="5" t="n">
        <v>5.4</v>
      </c>
      <c r="C13" s="5" t="n">
        <v>72.5</v>
      </c>
      <c r="D13" s="5" t="n">
        <v>53.5</v>
      </c>
      <c r="E13" s="5" t="n">
        <v>148</v>
      </c>
      <c r="F13" s="5" t="n">
        <v>55.2</v>
      </c>
      <c r="G13" s="6" t="n">
        <v>365</v>
      </c>
      <c r="H13" s="5" t="n">
        <v>68</v>
      </c>
      <c r="I13" s="5" t="n">
        <v>37.5</v>
      </c>
      <c r="J13" s="5" t="n">
        <v>60</v>
      </c>
      <c r="K13" s="7" t="s">
        <v>29</v>
      </c>
    </row>
    <row r="14" customFormat="false" ht="15" hidden="false" customHeight="false" outlineLevel="0" collapsed="false">
      <c r="A14" s="4" t="s">
        <v>30</v>
      </c>
      <c r="B14" s="5" t="n">
        <v>5.55</v>
      </c>
      <c r="C14" s="5" t="n">
        <v>78</v>
      </c>
      <c r="D14" s="5" t="n">
        <v>57.8</v>
      </c>
      <c r="E14" s="5" t="n">
        <v>158</v>
      </c>
      <c r="F14" s="5" t="n">
        <v>56.8</v>
      </c>
      <c r="G14" s="6" t="n">
        <v>380</v>
      </c>
      <c r="H14" s="5" t="n">
        <v>72.5</v>
      </c>
      <c r="I14" s="5" t="n">
        <v>38.8</v>
      </c>
      <c r="J14" s="5" t="n">
        <v>63.5</v>
      </c>
      <c r="K14" s="7" t="s">
        <v>31</v>
      </c>
    </row>
    <row r="15" customFormat="false" ht="15" hidden="false" customHeight="false" outlineLevel="0" collapsed="false">
      <c r="A15" s="4" t="s">
        <v>32</v>
      </c>
      <c r="B15" s="5" t="n">
        <v>5.65</v>
      </c>
      <c r="C15" s="5" t="n">
        <v>82.5</v>
      </c>
      <c r="D15" s="5" t="n">
        <v>60.5</v>
      </c>
      <c r="E15" s="5" t="n">
        <v>170</v>
      </c>
      <c r="F15" s="5" t="n">
        <v>57.5</v>
      </c>
      <c r="G15" s="6" t="n">
        <v>395</v>
      </c>
      <c r="H15" s="5" t="n">
        <v>78</v>
      </c>
      <c r="I15" s="5" t="n">
        <v>39.5</v>
      </c>
      <c r="J15" s="5" t="n">
        <v>66</v>
      </c>
      <c r="K15" s="7" t="s">
        <v>33</v>
      </c>
    </row>
    <row r="16" customFormat="false" ht="15" hidden="false" customHeight="false" outlineLevel="0" collapsed="false">
      <c r="A16" s="4" t="s">
        <v>34</v>
      </c>
      <c r="B16" s="5" t="n">
        <v>5.75</v>
      </c>
      <c r="C16" s="5" t="n">
        <v>87</v>
      </c>
      <c r="D16" s="5" t="n">
        <v>63.2</v>
      </c>
      <c r="E16" s="5" t="n">
        <v>185</v>
      </c>
      <c r="F16" s="5" t="n">
        <v>58.2</v>
      </c>
      <c r="G16" s="6" t="n">
        <v>410</v>
      </c>
      <c r="H16" s="5" t="n">
        <v>82.5</v>
      </c>
      <c r="I16" s="5" t="n">
        <v>40.5</v>
      </c>
      <c r="J16" s="5" t="n">
        <v>69</v>
      </c>
      <c r="K16" s="7" t="s">
        <v>35</v>
      </c>
    </row>
    <row r="17" customFormat="false" ht="15" hidden="false" customHeight="false" outlineLevel="0" collapsed="false">
      <c r="A17" s="4" t="s">
        <v>36</v>
      </c>
      <c r="B17" s="5" t="n">
        <v>5.9</v>
      </c>
      <c r="C17" s="5" t="n">
        <v>94.5</v>
      </c>
      <c r="D17" s="5" t="n">
        <v>68</v>
      </c>
      <c r="E17" s="5" t="n">
        <v>218</v>
      </c>
      <c r="F17" s="5" t="n">
        <v>59</v>
      </c>
      <c r="G17" s="6" t="n">
        <v>430</v>
      </c>
      <c r="H17" s="5" t="n">
        <v>88.5</v>
      </c>
      <c r="I17" s="5" t="n">
        <v>42</v>
      </c>
      <c r="J17" s="5" t="n">
        <v>73</v>
      </c>
      <c r="K17" s="7" t="s">
        <v>37</v>
      </c>
    </row>
    <row r="18" customFormat="false" ht="15" hidden="false" customHeight="false" outlineLevel="0" collapsed="false">
      <c r="A18" s="8" t="s">
        <v>38</v>
      </c>
      <c r="B18" s="9" t="n">
        <v>6.06</v>
      </c>
      <c r="C18" s="9" t="n">
        <v>95.7</v>
      </c>
      <c r="D18" s="9" t="n">
        <v>68.08</v>
      </c>
      <c r="E18" s="9" t="n">
        <v>218.3</v>
      </c>
      <c r="F18" s="9" t="n">
        <v>58.89</v>
      </c>
      <c r="G18" s="10" t="n">
        <v>435</v>
      </c>
      <c r="H18" s="9" t="n">
        <v>89.5</v>
      </c>
      <c r="I18" s="9" t="n">
        <v>42.5</v>
      </c>
      <c r="J18" s="9" t="n">
        <v>73.5</v>
      </c>
      <c r="K18" s="11"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10" min="2" style="0" width="14"/>
    <col collapsed="false" customWidth="true" hidden="false" outlineLevel="0" max="11" min="11" style="0" width="42"/>
  </cols>
  <sheetData>
    <row r="1" customFormat="false" ht="16.15" hidden="false" customHeight="false" outlineLevel="0" collapsed="false">
      <c r="A1" s="1" t="s">
        <v>40</v>
      </c>
    </row>
    <row r="2" customFormat="false" ht="15" hidden="false" customHeight="false" outlineLevel="0" collapsed="false">
      <c r="A2" s="2" t="s">
        <v>41</v>
      </c>
    </row>
    <row r="3" customFormat="false" ht="15" hidden="false" customHeight="false" outlineLevel="0" collapsed="false">
      <c r="A3" s="2" t="s">
        <v>42</v>
      </c>
    </row>
    <row r="5" customFormat="false" ht="23.85" hidden="false" customHeight="false" outlineLevel="0" collapsed="false">
      <c r="A5" s="3" t="s">
        <v>3</v>
      </c>
      <c r="B5" s="3" t="s">
        <v>43</v>
      </c>
      <c r="C5" s="3" t="s">
        <v>44</v>
      </c>
      <c r="D5" s="3" t="s">
        <v>45</v>
      </c>
      <c r="E5" s="3" t="s">
        <v>46</v>
      </c>
      <c r="F5" s="3" t="s">
        <v>47</v>
      </c>
      <c r="G5" s="3" t="s">
        <v>48</v>
      </c>
      <c r="H5" s="3" t="s">
        <v>49</v>
      </c>
      <c r="I5" s="3" t="s">
        <v>50</v>
      </c>
      <c r="J5" s="3" t="s">
        <v>51</v>
      </c>
      <c r="K5" s="3" t="s">
        <v>52</v>
      </c>
    </row>
    <row r="6" customFormat="false" ht="15" hidden="false" customHeight="false" outlineLevel="0" collapsed="false">
      <c r="A6" s="4" t="s">
        <v>14</v>
      </c>
      <c r="B6" s="12" t="s">
        <v>53</v>
      </c>
      <c r="C6" s="12" t="s">
        <v>53</v>
      </c>
      <c r="D6" s="12" t="s">
        <v>53</v>
      </c>
      <c r="E6" s="12" t="s">
        <v>53</v>
      </c>
      <c r="F6" s="12" t="s">
        <v>53</v>
      </c>
      <c r="G6" s="12" t="s">
        <v>53</v>
      </c>
      <c r="H6" s="12" t="s">
        <v>53</v>
      </c>
      <c r="I6" s="12" t="s">
        <v>53</v>
      </c>
      <c r="J6" s="12" t="s">
        <v>53</v>
      </c>
      <c r="K6" s="13"/>
    </row>
    <row r="7" customFormat="false" ht="15" hidden="false" customHeight="false" outlineLevel="0" collapsed="false">
      <c r="A7" s="4" t="s">
        <v>16</v>
      </c>
      <c r="B7" s="14" t="n">
        <f aca="false">'Miner Amplification Ratio'!B7/'Miner Amplification Ratio'!B6-1</f>
        <v>0.032258064516129</v>
      </c>
      <c r="C7" s="14" t="n">
        <f aca="false">'Miner Amplification Ratio'!C7/'Miner Amplification Ratio'!C6-1</f>
        <v>0.0485436893203883</v>
      </c>
      <c r="D7" s="15" t="n">
        <f aca="false">IF(B7&lt;&gt;0,C7/B7,"N/A")</f>
        <v>1.50485436893204</v>
      </c>
      <c r="E7" s="14" t="n">
        <f aca="false">'Miner Amplification Ratio'!D7/'Miner Amplification Ratio'!D6-1</f>
        <v>0.0602094240837696</v>
      </c>
      <c r="F7" s="15" t="n">
        <f aca="false">IF(B7&lt;&gt;0,E7/B7,"N/A")</f>
        <v>1.86649214659686</v>
      </c>
      <c r="G7" s="14" t="n">
        <f aca="false">'Miner Amplification Ratio'!G7/'Miner Amplification Ratio'!G6-1</f>
        <v>0.051660516605166</v>
      </c>
      <c r="H7" s="14" t="n">
        <f aca="false">'Miner Amplification Ratio'!H7/'Miner Amplification Ratio'!H6-1</f>
        <v>0.0823529411764705</v>
      </c>
      <c r="I7" s="15" t="n">
        <f aca="false">IF(G7&lt;&gt;0,H7/G7,"N/A")</f>
        <v>1.59411764705882</v>
      </c>
      <c r="J7" s="15" t="n">
        <f aca="false">IF(('Miner Amplification Ratio'!I7/'Miner Amplification Ratio'!I6-1)&lt;&gt;0,('Miner Amplification Ratio'!J7/'Miner Amplification Ratio'!J6-1)/('Miner Amplification Ratio'!I7/'Miner Amplification Ratio'!I6-1),"N/A")</f>
        <v>2.59353741496599</v>
      </c>
      <c r="K7" s="13"/>
    </row>
    <row r="8" customFormat="false" ht="15" hidden="false" customHeight="false" outlineLevel="0" collapsed="false">
      <c r="A8" s="4" t="s">
        <v>18</v>
      </c>
      <c r="B8" s="14" t="n">
        <f aca="false">'Miner Amplification Ratio'!B8/'Miner Amplification Ratio'!B6-1</f>
        <v>0.064516129032258</v>
      </c>
      <c r="C8" s="14" t="n">
        <f aca="false">'Miner Amplification Ratio'!C8/'Miner Amplification Ratio'!C6-1</f>
        <v>0.122330097087379</v>
      </c>
      <c r="D8" s="15" t="n">
        <f aca="false">IF(B8&lt;&gt;0,C8/B8,"N/A")</f>
        <v>1.89611650485437</v>
      </c>
      <c r="E8" s="14" t="n">
        <f aca="false">'Miner Amplification Ratio'!D8/'Miner Amplification Ratio'!D6-1</f>
        <v>0.128272251308901</v>
      </c>
      <c r="F8" s="15" t="n">
        <f aca="false">IF(B8&lt;&gt;0,E8/B8,"N/A")</f>
        <v>1.98821989528796</v>
      </c>
      <c r="G8" s="14" t="n">
        <f aca="false">'Miner Amplification Ratio'!G8/'Miner Amplification Ratio'!G6-1</f>
        <v>0.0996309963099631</v>
      </c>
      <c r="H8" s="14" t="n">
        <f aca="false">'Miner Amplification Ratio'!H8/'Miner Amplification Ratio'!H6-1</f>
        <v>0.188235294117647</v>
      </c>
      <c r="I8" s="15" t="n">
        <f aca="false">IF(G8&lt;&gt;0,H8/G8,"N/A")</f>
        <v>1.88932461873638</v>
      </c>
      <c r="J8" s="15" t="n">
        <f aca="false">IF(('Miner Amplification Ratio'!I8/'Miner Amplification Ratio'!I6-1)&lt;&gt;0,('Miner Amplification Ratio'!J8/'Miner Amplification Ratio'!J6-1)/('Miner Amplification Ratio'!I8/'Miner Amplification Ratio'!I6-1),"N/A")</f>
        <v>1.74285714285714</v>
      </c>
      <c r="K8" s="13" t="s">
        <v>54</v>
      </c>
    </row>
    <row r="9" customFormat="false" ht="15" hidden="false" customHeight="false" outlineLevel="0" collapsed="false">
      <c r="A9" s="4" t="s">
        <v>20</v>
      </c>
      <c r="B9" s="14" t="n">
        <f aca="false">'Miner Amplification Ratio'!B9/'Miner Amplification Ratio'!B6-1</f>
        <v>0.096774193548387</v>
      </c>
      <c r="C9" s="14" t="n">
        <f aca="false">'Miner Amplification Ratio'!C9/'Miner Amplification Ratio'!C6-1</f>
        <v>0.194174757281553</v>
      </c>
      <c r="D9" s="15" t="n">
        <f aca="false">IF(B9&lt;&gt;0,C9/B9,"N/A")</f>
        <v>2.00647249190939</v>
      </c>
      <c r="E9" s="14" t="n">
        <f aca="false">'Miner Amplification Ratio'!D9/'Miner Amplification Ratio'!D6-1</f>
        <v>0.225130890052356</v>
      </c>
      <c r="F9" s="15" t="n">
        <f aca="false">IF(B9&lt;&gt;0,E9/B9,"N/A")</f>
        <v>2.32635253054101</v>
      </c>
      <c r="G9" s="14" t="n">
        <f aca="false">'Miner Amplification Ratio'!G9/'Miner Amplification Ratio'!G6-1</f>
        <v>0.143911439114391</v>
      </c>
      <c r="H9" s="14" t="n">
        <f aca="false">'Miner Amplification Ratio'!H9/'Miner Amplification Ratio'!H6-1</f>
        <v>0.275294117647059</v>
      </c>
      <c r="I9" s="15" t="n">
        <f aca="false">IF(G9&lt;&gt;0,H9/G9,"N/A")</f>
        <v>1.91294117647059</v>
      </c>
      <c r="J9" s="15" t="n">
        <f aca="false">IF(('Miner Amplification Ratio'!I9/'Miner Amplification Ratio'!I6-1)&lt;&gt;0,('Miner Amplification Ratio'!J9/'Miner Amplification Ratio'!J6-1)/('Miner Amplification Ratio'!I9/'Miner Amplification Ratio'!I6-1),"N/A")</f>
        <v>1.60437430786268</v>
      </c>
      <c r="K9" s="13" t="s">
        <v>55</v>
      </c>
    </row>
    <row r="10" customFormat="false" ht="15" hidden="false" customHeight="false" outlineLevel="0" collapsed="false">
      <c r="A10" s="4" t="s">
        <v>22</v>
      </c>
      <c r="B10" s="14" t="n">
        <f aca="false">'Miner Amplification Ratio'!B10/'Miner Amplification Ratio'!B6-1</f>
        <v>0.10752688172043</v>
      </c>
      <c r="C10" s="14" t="n">
        <f aca="false">'Miner Amplification Ratio'!C10/'Miner Amplification Ratio'!C6-1</f>
        <v>0.242718446601942</v>
      </c>
      <c r="D10" s="15" t="n">
        <f aca="false">IF(B10&lt;&gt;0,C10/B10,"N/A")</f>
        <v>2.25728155339806</v>
      </c>
      <c r="E10" s="14" t="n">
        <f aca="false">'Miner Amplification Ratio'!D10/'Miner Amplification Ratio'!D6-1</f>
        <v>0.269633507853403</v>
      </c>
      <c r="F10" s="15" t="n">
        <f aca="false">IF(B10&lt;&gt;0,E10/B10,"N/A")</f>
        <v>2.50759162303665</v>
      </c>
      <c r="G10" s="14" t="n">
        <f aca="false">'Miner Amplification Ratio'!G10/'Miner Amplification Ratio'!G6-1</f>
        <v>0.199261992619926</v>
      </c>
      <c r="H10" s="14" t="n">
        <f aca="false">'Miner Amplification Ratio'!H10/'Miner Amplification Ratio'!H6-1</f>
        <v>0.364705882352941</v>
      </c>
      <c r="I10" s="15" t="n">
        <f aca="false">IF(G10&lt;&gt;0,H10/G10,"N/A")</f>
        <v>1.83028322440087</v>
      </c>
      <c r="J10" s="15" t="n">
        <f aca="false">IF(('Miner Amplification Ratio'!I10/'Miner Amplification Ratio'!I6-1)&lt;&gt;0,('Miner Amplification Ratio'!J10/'Miner Amplification Ratio'!J6-1)/('Miner Amplification Ratio'!I10/'Miner Amplification Ratio'!I6-1),"N/A")</f>
        <v>1.59761904761905</v>
      </c>
      <c r="K10" s="13" t="s">
        <v>56</v>
      </c>
    </row>
    <row r="11" customFormat="false" ht="15" hidden="false" customHeight="false" outlineLevel="0" collapsed="false">
      <c r="A11" s="4" t="s">
        <v>24</v>
      </c>
      <c r="B11" s="14" t="n">
        <f aca="false">'Miner Amplification Ratio'!B11/'Miner Amplification Ratio'!B6-1</f>
        <v>0.139784946236559</v>
      </c>
      <c r="C11" s="14" t="n">
        <f aca="false">'Miner Amplification Ratio'!C11/'Miner Amplification Ratio'!C6-1</f>
        <v>0.330097087378641</v>
      </c>
      <c r="D11" s="15" t="n">
        <f aca="false">IF(B11&lt;&gt;0,C11/B11,"N/A")</f>
        <v>2.36146377893951</v>
      </c>
      <c r="E11" s="14" t="n">
        <f aca="false">'Miner Amplification Ratio'!D11/'Miner Amplification Ratio'!D6-1</f>
        <v>0.340314136125655</v>
      </c>
      <c r="F11" s="15" t="n">
        <f aca="false">IF(B11&lt;&gt;0,E11/B11,"N/A")</f>
        <v>2.43455497382199</v>
      </c>
      <c r="G11" s="14" t="n">
        <f aca="false">'Miner Amplification Ratio'!G11/'Miner Amplification Ratio'!G6-1</f>
        <v>0.247232472324723</v>
      </c>
      <c r="H11" s="14" t="n">
        <f aca="false">'Miner Amplification Ratio'!H11/'Miner Amplification Ratio'!H6-1</f>
        <v>0.447058823529412</v>
      </c>
      <c r="I11" s="15" t="n">
        <f aca="false">IF(G11&lt;&gt;0,H11/G11,"N/A")</f>
        <v>1.80825285338016</v>
      </c>
      <c r="J11" s="15" t="n">
        <f aca="false">IF(('Miner Amplification Ratio'!I11/'Miner Amplification Ratio'!I6-1)&lt;&gt;0,('Miner Amplification Ratio'!J11/'Miner Amplification Ratio'!J6-1)/('Miner Amplification Ratio'!I11/'Miner Amplification Ratio'!I6-1),"N/A")</f>
        <v>1.71992481203007</v>
      </c>
      <c r="K11" s="13" t="s">
        <v>57</v>
      </c>
    </row>
    <row r="12" customFormat="false" ht="15" hidden="false" customHeight="false" outlineLevel="0" collapsed="false">
      <c r="A12" s="4" t="s">
        <v>26</v>
      </c>
      <c r="B12" s="14" t="n">
        <f aca="false">'Miner Amplification Ratio'!B12/'Miner Amplification Ratio'!B6-1</f>
        <v>0.129032258064516</v>
      </c>
      <c r="C12" s="14" t="n">
        <f aca="false">'Miner Amplification Ratio'!C12/'Miner Amplification Ratio'!C6-1</f>
        <v>0.297087378640777</v>
      </c>
      <c r="D12" s="15" t="n">
        <f aca="false">IF(B12&lt;&gt;0,C12/B12,"N/A")</f>
        <v>2.30242718446602</v>
      </c>
      <c r="E12" s="14" t="n">
        <f aca="false">'Miner Amplification Ratio'!D12/'Miner Amplification Ratio'!D6-1</f>
        <v>0.303664921465968</v>
      </c>
      <c r="F12" s="15" t="n">
        <f aca="false">IF(B12&lt;&gt;0,E12/B12,"N/A")</f>
        <v>2.35340314136126</v>
      </c>
      <c r="G12" s="14" t="n">
        <f aca="false">'Miner Amplification Ratio'!G12/'Miner Amplification Ratio'!G6-1</f>
        <v>0.273062730627306</v>
      </c>
      <c r="H12" s="14" t="n">
        <f aca="false">'Miner Amplification Ratio'!H12/'Miner Amplification Ratio'!H6-1</f>
        <v>0.501176470588235</v>
      </c>
      <c r="I12" s="15" t="n">
        <f aca="false">IF(G12&lt;&gt;0,H12/G12,"N/A")</f>
        <v>1.83538950715421</v>
      </c>
      <c r="J12" s="15" t="n">
        <f aca="false">IF(('Miner Amplification Ratio'!I12/'Miner Amplification Ratio'!I6-1)&lt;&gt;0,('Miner Amplification Ratio'!J12/'Miner Amplification Ratio'!J6-1)/('Miner Amplification Ratio'!I12/'Miner Amplification Ratio'!I6-1),"N/A")</f>
        <v>1.91823899371069</v>
      </c>
      <c r="K12" s="13" t="s">
        <v>58</v>
      </c>
    </row>
    <row r="13" customFormat="false" ht="15" hidden="false" customHeight="false" outlineLevel="0" collapsed="false">
      <c r="A13" s="4" t="s">
        <v>28</v>
      </c>
      <c r="B13" s="14" t="n">
        <f aca="false">'Miner Amplification Ratio'!B13/'Miner Amplification Ratio'!B6-1</f>
        <v>0.161290322580645</v>
      </c>
      <c r="C13" s="14" t="n">
        <f aca="false">'Miner Amplification Ratio'!C13/'Miner Amplification Ratio'!C6-1</f>
        <v>0.407766990291262</v>
      </c>
      <c r="D13" s="15" t="n">
        <f aca="false">IF(B13&lt;&gt;0,C13/B13,"N/A")</f>
        <v>2.52815533980582</v>
      </c>
      <c r="E13" s="14" t="n">
        <f aca="false">'Miner Amplification Ratio'!D13/'Miner Amplification Ratio'!D6-1</f>
        <v>0.400523560209424</v>
      </c>
      <c r="F13" s="15" t="n">
        <f aca="false">IF(B13&lt;&gt;0,E13/B13,"N/A")</f>
        <v>2.48324607329843</v>
      </c>
      <c r="G13" s="14" t="n">
        <f aca="false">'Miner Amplification Ratio'!G13/'Miner Amplification Ratio'!G6-1</f>
        <v>0.346863468634686</v>
      </c>
      <c r="H13" s="14" t="n">
        <f aca="false">'Miner Amplification Ratio'!H13/'Miner Amplification Ratio'!H6-1</f>
        <v>0.6</v>
      </c>
      <c r="I13" s="15" t="n">
        <f aca="false">IF(G13&lt;&gt;0,H13/G13,"N/A")</f>
        <v>1.72978723404255</v>
      </c>
      <c r="J13" s="15" t="n">
        <f aca="false">IF(('Miner Amplification Ratio'!I13/'Miner Amplification Ratio'!I6-1)&lt;&gt;0,('Miner Amplification Ratio'!J13/'Miner Amplification Ratio'!J6-1)/('Miner Amplification Ratio'!I13/'Miner Amplification Ratio'!I6-1),"N/A")</f>
        <v>1.86734693877551</v>
      </c>
      <c r="K13" s="13" t="s">
        <v>59</v>
      </c>
    </row>
    <row r="14" customFormat="false" ht="15" hidden="false" customHeight="false" outlineLevel="0" collapsed="false">
      <c r="A14" s="4" t="s">
        <v>30</v>
      </c>
      <c r="B14" s="14" t="n">
        <f aca="false">'Miner Amplification Ratio'!B14/'Miner Amplification Ratio'!B6-1</f>
        <v>0.193548387096774</v>
      </c>
      <c r="C14" s="14" t="n">
        <f aca="false">'Miner Amplification Ratio'!C14/'Miner Amplification Ratio'!C6-1</f>
        <v>0.514563106796117</v>
      </c>
      <c r="D14" s="15" t="n">
        <f aca="false">IF(B14&lt;&gt;0,C14/B14,"N/A")</f>
        <v>2.65857605177994</v>
      </c>
      <c r="E14" s="14" t="n">
        <f aca="false">'Miner Amplification Ratio'!D14/'Miner Amplification Ratio'!D6-1</f>
        <v>0.513089005235602</v>
      </c>
      <c r="F14" s="15" t="n">
        <f aca="false">IF(B14&lt;&gt;0,E14/B14,"N/A")</f>
        <v>2.65095986038395</v>
      </c>
      <c r="G14" s="14" t="n">
        <f aca="false">'Miner Amplification Ratio'!G14/'Miner Amplification Ratio'!G6-1</f>
        <v>0.402214022140222</v>
      </c>
      <c r="H14" s="14" t="n">
        <f aca="false">'Miner Amplification Ratio'!H14/'Miner Amplification Ratio'!H6-1</f>
        <v>0.705882352941176</v>
      </c>
      <c r="I14" s="15" t="n">
        <f aca="false">IF(G14&lt;&gt;0,H14/G14,"N/A")</f>
        <v>1.75499190501889</v>
      </c>
      <c r="J14" s="15" t="n">
        <f aca="false">IF(('Miner Amplification Ratio'!I14/'Miner Amplification Ratio'!I6-1)&lt;&gt;0,('Miner Amplification Ratio'!J14/'Miner Amplification Ratio'!J6-1)/('Miner Amplification Ratio'!I14/'Miner Amplification Ratio'!I6-1),"N/A")</f>
        <v>1.8810958118187</v>
      </c>
      <c r="K14" s="13" t="s">
        <v>60</v>
      </c>
    </row>
    <row r="15" customFormat="false" ht="15" hidden="false" customHeight="false" outlineLevel="0" collapsed="false">
      <c r="A15" s="4" t="s">
        <v>32</v>
      </c>
      <c r="B15" s="14" t="n">
        <f aca="false">'Miner Amplification Ratio'!B15/'Miner Amplification Ratio'!B6-1</f>
        <v>0.21505376344086</v>
      </c>
      <c r="C15" s="14" t="n">
        <f aca="false">'Miner Amplification Ratio'!C15/'Miner Amplification Ratio'!C6-1</f>
        <v>0.601941747572816</v>
      </c>
      <c r="D15" s="15" t="n">
        <f aca="false">IF(B15&lt;&gt;0,C15/B15,"N/A")</f>
        <v>2.79902912621359</v>
      </c>
      <c r="E15" s="14" t="n">
        <f aca="false">'Miner Amplification Ratio'!D15/'Miner Amplification Ratio'!D6-1</f>
        <v>0.583769633507853</v>
      </c>
      <c r="F15" s="15" t="n">
        <f aca="false">IF(B15&lt;&gt;0,E15/B15,"N/A")</f>
        <v>2.71452879581152</v>
      </c>
      <c r="G15" s="14" t="n">
        <f aca="false">'Miner Amplification Ratio'!G15/'Miner Amplification Ratio'!G6-1</f>
        <v>0.457564575645757</v>
      </c>
      <c r="H15" s="14" t="n">
        <f aca="false">'Miner Amplification Ratio'!H15/'Miner Amplification Ratio'!H6-1</f>
        <v>0.835294117647059</v>
      </c>
      <c r="I15" s="15" t="n">
        <f aca="false">IF(G15&lt;&gt;0,H15/G15,"N/A")</f>
        <v>1.82552182163188</v>
      </c>
      <c r="J15" s="15" t="n">
        <f aca="false">IF(('Miner Amplification Ratio'!I15/'Miner Amplification Ratio'!I6-1)&lt;&gt;0,('Miner Amplification Ratio'!J15/'Miner Amplification Ratio'!J6-1)/('Miner Amplification Ratio'!I15/'Miner Amplification Ratio'!I6-1),"N/A")</f>
        <v>1.93650793650794</v>
      </c>
      <c r="K15" s="13" t="s">
        <v>61</v>
      </c>
    </row>
    <row r="16" customFormat="false" ht="15" hidden="false" customHeight="false" outlineLevel="0" collapsed="false">
      <c r="A16" s="4" t="s">
        <v>34</v>
      </c>
      <c r="B16" s="14" t="n">
        <f aca="false">'Miner Amplification Ratio'!B16/'Miner Amplification Ratio'!B6-1</f>
        <v>0.236559139784946</v>
      </c>
      <c r="C16" s="14" t="n">
        <f aca="false">'Miner Amplification Ratio'!C16/'Miner Amplification Ratio'!C6-1</f>
        <v>0.689320388349515</v>
      </c>
      <c r="D16" s="15" t="n">
        <f aca="false">IF(B16&lt;&gt;0,C16/B16,"N/A")</f>
        <v>2.91394527802295</v>
      </c>
      <c r="E16" s="14" t="n">
        <f aca="false">'Miner Amplification Ratio'!D16/'Miner Amplification Ratio'!D6-1</f>
        <v>0.654450261780105</v>
      </c>
      <c r="F16" s="15" t="n">
        <f aca="false">IF(B16&lt;&gt;0,E16/B16,"N/A")</f>
        <v>2.76653974297953</v>
      </c>
      <c r="G16" s="14" t="n">
        <f aca="false">'Miner Amplification Ratio'!G16/'Miner Amplification Ratio'!G6-1</f>
        <v>0.512915129151291</v>
      </c>
      <c r="H16" s="14" t="n">
        <f aca="false">'Miner Amplification Ratio'!H16/'Miner Amplification Ratio'!H6-1</f>
        <v>0.941176470588235</v>
      </c>
      <c r="I16" s="15" t="n">
        <f aca="false">IF(G16&lt;&gt;0,H16/G16,"N/A")</f>
        <v>1.8349555649598</v>
      </c>
      <c r="J16" s="15" t="n">
        <f aca="false">IF(('Miner Amplification Ratio'!I16/'Miner Amplification Ratio'!I6-1)&lt;&gt;0,('Miner Amplification Ratio'!J16/'Miner Amplification Ratio'!J6-1)/('Miner Amplification Ratio'!I16/'Miner Amplification Ratio'!I6-1),"N/A")</f>
        <v>1.96071428571429</v>
      </c>
      <c r="K16" s="13" t="s">
        <v>62</v>
      </c>
    </row>
    <row r="17" customFormat="false" ht="15" hidden="false" customHeight="false" outlineLevel="0" collapsed="false">
      <c r="A17" s="4" t="s">
        <v>36</v>
      </c>
      <c r="B17" s="14" t="n">
        <f aca="false">'Miner Amplification Ratio'!B17/'Miner Amplification Ratio'!B6-1</f>
        <v>0.268817204301075</v>
      </c>
      <c r="C17" s="14" t="n">
        <f aca="false">'Miner Amplification Ratio'!C17/'Miner Amplification Ratio'!C6-1</f>
        <v>0.83495145631068</v>
      </c>
      <c r="D17" s="15" t="n">
        <f aca="false">IF(B17&lt;&gt;0,C17/B17,"N/A")</f>
        <v>3.10601941747573</v>
      </c>
      <c r="E17" s="14" t="n">
        <f aca="false">'Miner Amplification Ratio'!D17/'Miner Amplification Ratio'!D6-1</f>
        <v>0.780104712041885</v>
      </c>
      <c r="F17" s="15" t="n">
        <f aca="false">IF(B17&lt;&gt;0,E17/B17,"N/A")</f>
        <v>2.90198952879581</v>
      </c>
      <c r="G17" s="14" t="n">
        <f aca="false">'Miner Amplification Ratio'!G17/'Miner Amplification Ratio'!G6-1</f>
        <v>0.586715867158672</v>
      </c>
      <c r="H17" s="14" t="n">
        <f aca="false">'Miner Amplification Ratio'!H17/'Miner Amplification Ratio'!H6-1</f>
        <v>1.08235294117647</v>
      </c>
      <c r="I17" s="15" t="n">
        <f aca="false">IF(G17&lt;&gt;0,H17/G17,"N/A")</f>
        <v>1.84476507584166</v>
      </c>
      <c r="J17" s="15" t="n">
        <f aca="false">IF(('Miner Amplification Ratio'!I17/'Miner Amplification Ratio'!I6-1)&lt;&gt;0,('Miner Amplification Ratio'!J17/'Miner Amplification Ratio'!J6-1)/('Miner Amplification Ratio'!I17/'Miner Amplification Ratio'!I6-1),"N/A")</f>
        <v>1.95755693581781</v>
      </c>
      <c r="K17" s="13" t="s">
        <v>63</v>
      </c>
    </row>
    <row r="18" customFormat="false" ht="15" hidden="false" customHeight="false" outlineLevel="0" collapsed="false">
      <c r="A18" s="8" t="s">
        <v>38</v>
      </c>
      <c r="B18" s="16" t="n">
        <f aca="false">'Miner Amplification Ratio'!B18/'Miner Amplification Ratio'!B6-1</f>
        <v>0.303225806451613</v>
      </c>
      <c r="C18" s="16" t="n">
        <f aca="false">'Miner Amplification Ratio'!C18/'Miner Amplification Ratio'!C6-1</f>
        <v>0.858252427184466</v>
      </c>
      <c r="D18" s="17" t="n">
        <f aca="false">IF(B18&lt;&gt;0,C18/B18,"N/A")</f>
        <v>2.83040694071473</v>
      </c>
      <c r="E18" s="16" t="n">
        <f aca="false">'Miner Amplification Ratio'!D18/'Miner Amplification Ratio'!D6-1</f>
        <v>0.782198952879581</v>
      </c>
      <c r="F18" s="17" t="n">
        <f aca="false">IF(B18&lt;&gt;0,E18/B18,"N/A")</f>
        <v>2.57959229141139</v>
      </c>
      <c r="G18" s="16" t="n">
        <f aca="false">'Miner Amplification Ratio'!G18/'Miner Amplification Ratio'!G6-1</f>
        <v>0.605166051660517</v>
      </c>
      <c r="H18" s="16" t="n">
        <f aca="false">'Miner Amplification Ratio'!H18/'Miner Amplification Ratio'!H6-1</f>
        <v>1.10588235294118</v>
      </c>
      <c r="I18" s="17" t="n">
        <f aca="false">IF(G18&lt;&gt;0,H18/G18,"N/A")</f>
        <v>1.82740315638451</v>
      </c>
      <c r="J18" s="17" t="n">
        <f aca="false">IF(('Miner Amplification Ratio'!I18/'Miner Amplification Ratio'!I6-1)&lt;&gt;0,('Miner Amplification Ratio'!J18/'Miner Amplification Ratio'!J6-1)/('Miner Amplification Ratio'!I18/'Miner Amplification Ratio'!I6-1),"N/A")</f>
        <v>1.90625</v>
      </c>
      <c r="K18" s="18"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2"/>
    <col collapsed="false" customWidth="true" hidden="false" outlineLevel="0" max="6" min="2" style="0" width="14"/>
    <col collapsed="false" customWidth="true" hidden="false" outlineLevel="0" max="7" min="7" style="0" width="42"/>
  </cols>
  <sheetData>
    <row r="1" customFormat="false" ht="16.15" hidden="false" customHeight="false" outlineLevel="0" collapsed="false">
      <c r="A1" s="1" t="s">
        <v>65</v>
      </c>
    </row>
    <row r="2" customFormat="false" ht="15" hidden="false" customHeight="false" outlineLevel="0" collapsed="false">
      <c r="A2" s="2" t="s">
        <v>66</v>
      </c>
    </row>
    <row r="4" customFormat="false" ht="23.85" hidden="false" customHeight="false" outlineLevel="0" collapsed="false">
      <c r="A4" s="3" t="s">
        <v>67</v>
      </c>
      <c r="B4" s="3" t="s">
        <v>68</v>
      </c>
      <c r="C4" s="3" t="s">
        <v>69</v>
      </c>
      <c r="D4" s="3" t="s">
        <v>70</v>
      </c>
      <c r="E4" s="3" t="s">
        <v>71</v>
      </c>
      <c r="F4" s="3" t="s">
        <v>72</v>
      </c>
      <c r="G4" s="3" t="s">
        <v>73</v>
      </c>
    </row>
    <row r="5" customFormat="false" ht="15" hidden="false" customHeight="false" outlineLevel="0" collapsed="false">
      <c r="A5" s="19" t="s">
        <v>74</v>
      </c>
      <c r="B5" s="7"/>
      <c r="C5" s="7"/>
      <c r="D5" s="7"/>
      <c r="E5" s="7"/>
      <c r="F5" s="7"/>
      <c r="G5" s="7"/>
    </row>
    <row r="6" customFormat="false" ht="15" hidden="false" customHeight="false" outlineLevel="0" collapsed="false">
      <c r="A6" s="20" t="s">
        <v>75</v>
      </c>
      <c r="B6" s="21" t="n">
        <v>0.27</v>
      </c>
      <c r="C6" s="7"/>
      <c r="D6" s="7"/>
      <c r="E6" s="7"/>
      <c r="F6" s="7"/>
      <c r="G6" s="7"/>
    </row>
    <row r="7" customFormat="false" ht="15" hidden="false" customHeight="false" outlineLevel="0" collapsed="false">
      <c r="A7" s="20" t="s">
        <v>76</v>
      </c>
      <c r="B7" s="7"/>
      <c r="C7" s="21" t="n">
        <v>0.86</v>
      </c>
      <c r="D7" s="7"/>
      <c r="E7" s="7"/>
      <c r="F7" s="7"/>
      <c r="G7" s="7"/>
    </row>
    <row r="8" customFormat="false" ht="15" hidden="false" customHeight="false" outlineLevel="0" collapsed="false">
      <c r="A8" s="20" t="s">
        <v>77</v>
      </c>
      <c r="B8" s="7"/>
      <c r="C8" s="7"/>
      <c r="D8" s="22" t="n">
        <f aca="false">C7/B6</f>
        <v>3.18518518518519</v>
      </c>
      <c r="E8" s="7"/>
      <c r="F8" s="7"/>
      <c r="G8" s="7"/>
    </row>
    <row r="9" customFormat="false" ht="15" hidden="false" customHeight="false" outlineLevel="0" collapsed="false">
      <c r="A9" s="20" t="s">
        <v>78</v>
      </c>
      <c r="B9" s="7"/>
      <c r="C9" s="21" t="n">
        <v>0.78</v>
      </c>
      <c r="D9" s="7"/>
      <c r="E9" s="7" t="n">
        <v>10.4</v>
      </c>
      <c r="F9" s="7" t="n">
        <v>7.5</v>
      </c>
      <c r="G9" s="7" t="s">
        <v>79</v>
      </c>
    </row>
    <row r="10" customFormat="false" ht="15" hidden="false" customHeight="false" outlineLevel="0" collapsed="false">
      <c r="A10" s="20" t="s">
        <v>80</v>
      </c>
      <c r="B10" s="7"/>
      <c r="C10" s="21" t="n">
        <v>1.06</v>
      </c>
      <c r="D10" s="7"/>
      <c r="E10" s="7" t="n">
        <v>14.5</v>
      </c>
      <c r="F10" s="7" t="n">
        <v>11</v>
      </c>
      <c r="G10" s="7" t="s">
        <v>81</v>
      </c>
    </row>
    <row r="11" customFormat="false" ht="15" hidden="false" customHeight="false" outlineLevel="0" collapsed="false">
      <c r="A11" s="20"/>
      <c r="B11" s="7"/>
      <c r="C11" s="7"/>
      <c r="D11" s="7"/>
      <c r="E11" s="7"/>
      <c r="F11" s="7"/>
      <c r="G11" s="7"/>
    </row>
    <row r="12" customFormat="false" ht="15" hidden="false" customHeight="false" outlineLevel="0" collapsed="false">
      <c r="A12" s="19" t="s">
        <v>82</v>
      </c>
      <c r="B12" s="7"/>
      <c r="C12" s="7"/>
      <c r="D12" s="7"/>
      <c r="E12" s="7"/>
      <c r="F12" s="7"/>
      <c r="G12" s="7"/>
    </row>
    <row r="13" customFormat="false" ht="15" hidden="false" customHeight="false" outlineLevel="0" collapsed="false">
      <c r="A13" s="20" t="s">
        <v>83</v>
      </c>
      <c r="B13" s="21" t="n">
        <v>0.61</v>
      </c>
      <c r="C13" s="7"/>
      <c r="D13" s="7"/>
      <c r="E13" s="7"/>
      <c r="F13" s="7"/>
      <c r="G13" s="7"/>
    </row>
    <row r="14" customFormat="false" ht="15" hidden="false" customHeight="false" outlineLevel="0" collapsed="false">
      <c r="A14" s="20" t="s">
        <v>84</v>
      </c>
      <c r="B14" s="7"/>
      <c r="C14" s="21" t="n">
        <v>1.11</v>
      </c>
      <c r="D14" s="7"/>
      <c r="E14" s="7"/>
      <c r="F14" s="7"/>
      <c r="G14" s="7"/>
    </row>
    <row r="15" customFormat="false" ht="15" hidden="false" customHeight="false" outlineLevel="0" collapsed="false">
      <c r="A15" s="20" t="s">
        <v>85</v>
      </c>
      <c r="B15" s="7"/>
      <c r="C15" s="7"/>
      <c r="D15" s="22" t="n">
        <f aca="false">C14/B13</f>
        <v>1.81967213114754</v>
      </c>
      <c r="E15" s="7"/>
      <c r="F15" s="7"/>
      <c r="G15" s="7"/>
    </row>
    <row r="16" customFormat="false" ht="15" hidden="false" customHeight="false" outlineLevel="0" collapsed="false">
      <c r="A16" s="20" t="s">
        <v>86</v>
      </c>
      <c r="B16" s="7"/>
      <c r="C16" s="21" t="n">
        <v>0.95</v>
      </c>
      <c r="D16" s="7"/>
      <c r="E16" s="7" t="n">
        <v>8.2</v>
      </c>
      <c r="F16" s="7" t="n">
        <v>7</v>
      </c>
      <c r="G16" s="7" t="s">
        <v>87</v>
      </c>
    </row>
    <row r="17" customFormat="false" ht="15" hidden="false" customHeight="false" outlineLevel="0" collapsed="false">
      <c r="A17" s="20" t="s">
        <v>88</v>
      </c>
      <c r="B17" s="7"/>
      <c r="C17" s="21" t="n">
        <v>0.85</v>
      </c>
      <c r="D17" s="7"/>
      <c r="E17" s="7" t="n">
        <v>7.5</v>
      </c>
      <c r="F17" s="7" t="n">
        <v>6.5</v>
      </c>
      <c r="G17" s="7" t="s">
        <v>89</v>
      </c>
    </row>
    <row r="18" customFormat="false" ht="15" hidden="false" customHeight="false" outlineLevel="0" collapsed="false">
      <c r="A18" s="20"/>
      <c r="B18" s="7"/>
      <c r="C18" s="7"/>
      <c r="D18" s="7"/>
      <c r="E18" s="7"/>
      <c r="F18" s="7"/>
      <c r="G18" s="7"/>
    </row>
    <row r="19" customFormat="false" ht="15" hidden="false" customHeight="false" outlineLevel="0" collapsed="false">
      <c r="A19" s="19" t="s">
        <v>90</v>
      </c>
      <c r="B19" s="7"/>
      <c r="C19" s="7"/>
      <c r="D19" s="7"/>
      <c r="E19" s="7"/>
      <c r="F19" s="7"/>
      <c r="G19" s="7"/>
    </row>
    <row r="20" customFormat="false" ht="15" hidden="false" customHeight="false" outlineLevel="0" collapsed="false">
      <c r="A20" s="20" t="s">
        <v>91</v>
      </c>
      <c r="B20" s="21" t="n">
        <v>0.39</v>
      </c>
      <c r="C20" s="7"/>
      <c r="D20" s="7"/>
      <c r="E20" s="7"/>
      <c r="F20" s="7"/>
      <c r="G20" s="7"/>
    </row>
    <row r="21" customFormat="false" ht="15" hidden="false" customHeight="false" outlineLevel="0" collapsed="false">
      <c r="A21" s="20" t="s">
        <v>92</v>
      </c>
      <c r="B21" s="7"/>
      <c r="C21" s="21" t="n">
        <v>0.75</v>
      </c>
      <c r="D21" s="7"/>
      <c r="E21" s="7"/>
      <c r="F21" s="7"/>
      <c r="G21" s="7"/>
    </row>
    <row r="22" customFormat="false" ht="15" hidden="false" customHeight="false" outlineLevel="0" collapsed="false">
      <c r="A22" s="20" t="s">
        <v>93</v>
      </c>
      <c r="B22" s="7"/>
      <c r="C22" s="7"/>
      <c r="D22" s="22" t="n">
        <f aca="false">C21/B20</f>
        <v>1.92307692307692</v>
      </c>
      <c r="E22" s="7"/>
      <c r="F22" s="7"/>
      <c r="G22" s="7"/>
    </row>
    <row r="23" customFormat="false" ht="15" hidden="false" customHeight="false" outlineLevel="0" collapsed="false">
      <c r="A23" s="20"/>
      <c r="B23" s="7"/>
      <c r="C23" s="7"/>
      <c r="D23" s="7"/>
      <c r="E23" s="7"/>
      <c r="F23" s="7"/>
      <c r="G23" s="7"/>
    </row>
    <row r="24" customFormat="false" ht="15" hidden="false" customHeight="false" outlineLevel="0" collapsed="false">
      <c r="A24" s="19" t="s">
        <v>94</v>
      </c>
      <c r="B24" s="7"/>
      <c r="C24" s="7"/>
      <c r="D24" s="7"/>
      <c r="E24" s="7"/>
      <c r="F24" s="7"/>
      <c r="G24" s="7"/>
    </row>
    <row r="25" customFormat="false" ht="15" hidden="false" customHeight="false" outlineLevel="0" collapsed="false">
      <c r="A25" s="20" t="s">
        <v>95</v>
      </c>
      <c r="B25" s="21" t="n">
        <v>0.15</v>
      </c>
      <c r="C25" s="7"/>
      <c r="D25" s="7"/>
      <c r="E25" s="7"/>
      <c r="F25" s="7"/>
      <c r="G25" s="7"/>
    </row>
    <row r="26" customFormat="false" ht="15" hidden="false" customHeight="false" outlineLevel="0" collapsed="false">
      <c r="A26" s="20" t="s">
        <v>96</v>
      </c>
      <c r="B26" s="7"/>
      <c r="C26" s="21" t="n">
        <v>0.45</v>
      </c>
      <c r="D26" s="7"/>
      <c r="E26" s="7"/>
      <c r="F26" s="7"/>
      <c r="G26" s="7"/>
    </row>
    <row r="27" customFormat="false" ht="15" hidden="false" customHeight="false" outlineLevel="0" collapsed="false">
      <c r="A27" s="20" t="s">
        <v>97</v>
      </c>
      <c r="B27" s="7"/>
      <c r="C27" s="7"/>
      <c r="D27" s="22" t="n">
        <f aca="false">C26/B25</f>
        <v>3</v>
      </c>
      <c r="E27" s="7"/>
      <c r="F27" s="7"/>
      <c r="G27" s="7"/>
    </row>
    <row r="28" customFormat="false" ht="15" hidden="false" customHeight="false" outlineLevel="0" collapsed="false">
      <c r="A28" s="20"/>
      <c r="B28" s="7"/>
      <c r="C28" s="7"/>
      <c r="D28" s="7"/>
      <c r="E28" s="7"/>
      <c r="F28" s="7"/>
      <c r="G28" s="7"/>
    </row>
    <row r="29" customFormat="false" ht="15" hidden="false" customHeight="false" outlineLevel="0" collapsed="false">
      <c r="A29" s="19" t="s">
        <v>98</v>
      </c>
      <c r="B29" s="7"/>
      <c r="C29" s="7"/>
      <c r="D29" s="7"/>
      <c r="E29" s="7"/>
      <c r="F29" s="7"/>
      <c r="G29" s="7"/>
    </row>
    <row r="30" customFormat="false" ht="15" hidden="false" customHeight="false" outlineLevel="0" collapsed="false">
      <c r="A30" s="20" t="s">
        <v>99</v>
      </c>
      <c r="B30" s="21" t="n">
        <v>-0.1</v>
      </c>
      <c r="C30" s="7"/>
      <c r="D30" s="7"/>
      <c r="E30" s="7"/>
      <c r="F30" s="7"/>
      <c r="G30" s="7"/>
    </row>
    <row r="31" customFormat="false" ht="15" hidden="false" customHeight="false" outlineLevel="0" collapsed="false">
      <c r="A31" s="20" t="s">
        <v>100</v>
      </c>
      <c r="B31" s="7"/>
      <c r="C31" s="21" t="n">
        <v>-0.05</v>
      </c>
      <c r="D31" s="7"/>
      <c r="E31" s="7"/>
      <c r="F31" s="7"/>
      <c r="G31" s="7"/>
    </row>
    <row r="32" customFormat="false" ht="15" hidden="false" customHeight="false" outlineLevel="0" collapsed="false">
      <c r="A32" s="20" t="s">
        <v>101</v>
      </c>
      <c r="B32" s="7"/>
      <c r="C32" s="7"/>
      <c r="D32" s="22" t="n">
        <f aca="false">IF(B30&lt;&gt;0,C31/B30,"N/A")</f>
        <v>0.5</v>
      </c>
      <c r="E32" s="7"/>
      <c r="F32" s="7"/>
      <c r="G32"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4"/>
    <col collapsed="false" customWidth="true" hidden="false" outlineLevel="0" max="5" min="2" style="0" width="22"/>
    <col collapsed="false" customWidth="true" hidden="false" outlineLevel="0" max="6" min="6" style="0" width="36"/>
  </cols>
  <sheetData>
    <row r="1" customFormat="false" ht="16.15" hidden="false" customHeight="false" outlineLevel="0" collapsed="false">
      <c r="A1" s="1" t="s">
        <v>102</v>
      </c>
    </row>
    <row r="2" customFormat="false" ht="15" hidden="false" customHeight="false" outlineLevel="0" collapsed="false">
      <c r="A2" s="2" t="s">
        <v>103</v>
      </c>
    </row>
    <row r="4" customFormat="false" ht="23.85" hidden="false" customHeight="false" outlineLevel="0" collapsed="false">
      <c r="A4" s="3" t="s">
        <v>104</v>
      </c>
      <c r="B4" s="3" t="s">
        <v>70</v>
      </c>
      <c r="C4" s="3" t="s">
        <v>105</v>
      </c>
      <c r="D4" s="3" t="s">
        <v>106</v>
      </c>
      <c r="E4" s="3" t="s">
        <v>107</v>
      </c>
      <c r="F4" s="3" t="s">
        <v>108</v>
      </c>
    </row>
    <row r="5" customFormat="false" ht="99.75" hidden="false" customHeight="true" outlineLevel="0" collapsed="false">
      <c r="A5" s="4" t="s">
        <v>109</v>
      </c>
      <c r="B5" s="20" t="s">
        <v>110</v>
      </c>
      <c r="C5" s="20" t="s">
        <v>111</v>
      </c>
      <c r="D5" s="20" t="s">
        <v>112</v>
      </c>
      <c r="E5" s="20" t="s">
        <v>113</v>
      </c>
      <c r="F5" s="20" t="s">
        <v>114</v>
      </c>
    </row>
    <row r="6" customFormat="false" ht="99.75" hidden="false" customHeight="true" outlineLevel="0" collapsed="false">
      <c r="A6" s="23" t="s">
        <v>115</v>
      </c>
      <c r="B6" s="24" t="s">
        <v>116</v>
      </c>
      <c r="C6" s="24" t="s">
        <v>117</v>
      </c>
      <c r="D6" s="24" t="s">
        <v>118</v>
      </c>
      <c r="E6" s="24" t="s">
        <v>119</v>
      </c>
      <c r="F6" s="23" t="s">
        <v>120</v>
      </c>
    </row>
    <row r="7" customFormat="false" ht="99.75" hidden="false" customHeight="true" outlineLevel="0" collapsed="false">
      <c r="A7" s="4" t="s">
        <v>121</v>
      </c>
      <c r="B7" s="20" t="s">
        <v>122</v>
      </c>
      <c r="C7" s="20" t="s">
        <v>123</v>
      </c>
      <c r="D7" s="20" t="s">
        <v>124</v>
      </c>
      <c r="E7" s="20" t="s">
        <v>125</v>
      </c>
      <c r="F7" s="20" t="s">
        <v>126</v>
      </c>
    </row>
    <row r="8" customFormat="false" ht="99.75" hidden="false" customHeight="true" outlineLevel="0" collapsed="false">
      <c r="A8" s="4" t="s">
        <v>127</v>
      </c>
      <c r="B8" s="20" t="s">
        <v>128</v>
      </c>
      <c r="C8" s="20" t="s">
        <v>129</v>
      </c>
      <c r="D8" s="20" t="s">
        <v>130</v>
      </c>
      <c r="E8" s="20" t="s">
        <v>131</v>
      </c>
      <c r="F8" s="20" t="s">
        <v>132</v>
      </c>
    </row>
    <row r="10" customFormat="false" ht="15" hidden="false" customHeight="false" outlineLevel="0" collapsed="false">
      <c r="A10" s="25" t="s">
        <v>133</v>
      </c>
    </row>
    <row r="12" customFormat="false" ht="60" hidden="false" customHeight="true" outlineLevel="0" collapsed="false">
      <c r="A12" s="26" t="s">
        <v>134</v>
      </c>
      <c r="B12" s="27" t="s">
        <v>135</v>
      </c>
      <c r="C12" s="27"/>
      <c r="D12" s="27"/>
      <c r="E12" s="27"/>
      <c r="F12" s="27"/>
    </row>
    <row r="14" customFormat="false" ht="60" hidden="false" customHeight="true" outlineLevel="0" collapsed="false">
      <c r="A14" s="26" t="s">
        <v>136</v>
      </c>
      <c r="B14" s="27" t="s">
        <v>137</v>
      </c>
      <c r="C14" s="27"/>
      <c r="D14" s="27"/>
      <c r="E14" s="27"/>
      <c r="F14" s="27"/>
    </row>
    <row r="16" customFormat="false" ht="60" hidden="false" customHeight="true" outlineLevel="0" collapsed="false">
      <c r="A16" s="26" t="s">
        <v>138</v>
      </c>
      <c r="B16" s="27" t="s">
        <v>139</v>
      </c>
      <c r="C16" s="27"/>
      <c r="D16" s="27"/>
      <c r="E16" s="27"/>
      <c r="F16" s="27"/>
    </row>
    <row r="18" customFormat="false" ht="60" hidden="false" customHeight="true" outlineLevel="0" collapsed="false">
      <c r="A18" s="26" t="s">
        <v>140</v>
      </c>
      <c r="B18" s="27" t="s">
        <v>141</v>
      </c>
      <c r="C18" s="27"/>
      <c r="D18" s="27"/>
      <c r="E18" s="27"/>
      <c r="F18" s="27"/>
    </row>
    <row r="20" customFormat="false" ht="60" hidden="false" customHeight="true" outlineLevel="0" collapsed="false">
      <c r="A20" s="26" t="s">
        <v>142</v>
      </c>
      <c r="B20" s="27" t="s">
        <v>143</v>
      </c>
      <c r="C20" s="27"/>
      <c r="D20" s="27"/>
      <c r="E20" s="27"/>
      <c r="F20" s="27"/>
    </row>
  </sheetData>
  <mergeCells count="5">
    <mergeCell ref="B12:F12"/>
    <mergeCell ref="B14:F14"/>
    <mergeCell ref="B16:F16"/>
    <mergeCell ref="B18:F18"/>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6"/>
    <col collapsed="false" customWidth="true" hidden="false" outlineLevel="0" max="2" min="2" style="0" width="60"/>
  </cols>
  <sheetData>
    <row r="1" customFormat="false" ht="16.15" hidden="false" customHeight="false" outlineLevel="0" collapsed="false">
      <c r="A1" s="1" t="s">
        <v>144</v>
      </c>
    </row>
    <row r="2" customFormat="false" ht="15" hidden="false" customHeight="false" outlineLevel="0" collapsed="false">
      <c r="A2" s="2" t="s">
        <v>145</v>
      </c>
    </row>
    <row r="4" customFormat="false" ht="15" hidden="false" customHeight="false" outlineLevel="0" collapsed="false">
      <c r="A4" s="25" t="s">
        <v>146</v>
      </c>
    </row>
    <row r="5" customFormat="false" ht="69.75" hidden="false" customHeight="true" outlineLevel="0" collapsed="false">
      <c r="A5" s="26" t="s">
        <v>147</v>
      </c>
      <c r="B5" s="20" t="s">
        <v>148</v>
      </c>
    </row>
    <row r="6" customFormat="false" ht="69.75" hidden="false" customHeight="true" outlineLevel="0" collapsed="false">
      <c r="A6" s="26" t="s">
        <v>149</v>
      </c>
      <c r="B6" s="20" t="s">
        <v>150</v>
      </c>
    </row>
    <row r="7" customFormat="false" ht="69.75" hidden="false" customHeight="true" outlineLevel="0" collapsed="false">
      <c r="A7" s="26" t="s">
        <v>151</v>
      </c>
      <c r="B7" s="20" t="s">
        <v>152</v>
      </c>
    </row>
    <row r="8" customFormat="false" ht="69.75" hidden="false" customHeight="true" outlineLevel="0" collapsed="false">
      <c r="A8" s="26" t="s">
        <v>153</v>
      </c>
      <c r="B8" s="20" t="s">
        <v>154</v>
      </c>
    </row>
    <row r="10" customFormat="false" ht="15" hidden="false" customHeight="false" outlineLevel="0" collapsed="false">
      <c r="A10" s="25" t="s">
        <v>155</v>
      </c>
    </row>
    <row r="11" customFormat="false" ht="79.5" hidden="false" customHeight="true" outlineLevel="0" collapsed="false">
      <c r="A11" s="26" t="s">
        <v>156</v>
      </c>
      <c r="B11" s="20" t="s">
        <v>157</v>
      </c>
    </row>
    <row r="12" customFormat="false" ht="79.5" hidden="false" customHeight="true" outlineLevel="0" collapsed="false">
      <c r="A12" s="26" t="s">
        <v>158</v>
      </c>
      <c r="B12" s="20" t="s">
        <v>159</v>
      </c>
    </row>
    <row r="13" customFormat="false" ht="79.5" hidden="false" customHeight="true" outlineLevel="0" collapsed="false">
      <c r="A13" s="26" t="s">
        <v>160</v>
      </c>
      <c r="B13" s="20" t="s">
        <v>161</v>
      </c>
    </row>
    <row r="14" customFormat="false" ht="79.5" hidden="false" customHeight="true" outlineLevel="0" collapsed="false">
      <c r="A14" s="26" t="s">
        <v>162</v>
      </c>
      <c r="B14" s="20" t="s">
        <v>163</v>
      </c>
    </row>
    <row r="15" customFormat="false" ht="79.5" hidden="false" customHeight="true" outlineLevel="0" collapsed="false">
      <c r="A15" s="26" t="s">
        <v>164</v>
      </c>
      <c r="B15" s="20" t="s">
        <v>165</v>
      </c>
    </row>
    <row r="17" customFormat="false" ht="15" hidden="false" customHeight="false" outlineLevel="0" collapsed="false">
      <c r="A17" s="28" t="s">
        <v>166</v>
      </c>
    </row>
    <row r="18" customFormat="false" ht="60" hidden="false" customHeight="true" outlineLevel="0" collapsed="false">
      <c r="A18" s="26" t="s">
        <v>167</v>
      </c>
      <c r="B18" s="20" t="s">
        <v>168</v>
      </c>
    </row>
    <row r="19" customFormat="false" ht="60" hidden="false" customHeight="true" outlineLevel="0" collapsed="false">
      <c r="A19" s="26" t="s">
        <v>169</v>
      </c>
      <c r="B19" s="20" t="s">
        <v>170</v>
      </c>
    </row>
    <row r="20" customFormat="false" ht="60" hidden="false" customHeight="true" outlineLevel="0" collapsed="false">
      <c r="A20" s="26" t="s">
        <v>171</v>
      </c>
      <c r="B20" s="20" t="s">
        <v>172</v>
      </c>
    </row>
    <row r="21" customFormat="false" ht="60" hidden="false" customHeight="true" outlineLevel="0" collapsed="false">
      <c r="A21" s="26" t="s">
        <v>173</v>
      </c>
      <c r="B21" s="20"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2026-03-01T22:53:14Z</dcterms:created>
  <dc:creator>openpyxl</dc:creator>
  <dc:description/>
  <dc:language>en-US</dc:language>
  <cp:lastModifiedBy/>
  <dcterms:modified xsi:type="dcterms:W3CDTF">2026-03-01T22:53:14Z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