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Decomposition" sheetId="1" state="visible" r:id="rId3"/>
    <sheet name="GOES Segment Isolation" sheetId="2" state="visible" r:id="rId4"/>
    <sheet name="Sum-of-Parts Valuation" sheetId="3" state="visible" r:id="rId5"/>
    <sheet name="Transformer Value Chain" sheetId="4" state="visible" r:id="rId6"/>
    <sheet name="The GOES Argument" sheetId="5" state="visible" r:id="rId7"/>
    <sheet name="10-K Data Extrac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<sst xmlns="http://schemas.openxmlformats.org/spreadsheetml/2006/main" count="433" uniqueCount="387">
  <si>
    <t xml:space="preserve">Cleveland-Cliffs (CLF) — Revenue &amp; Segment Decomposition (10-K Verified)</t>
  </si>
  <si>
    <t xml:space="preserve">All figures in $M unless noted. Blue = hardcoded input (10-K sourced). Black = formula.</t>
  </si>
  <si>
    <t xml:space="preserve">FY2023</t>
  </si>
  <si>
    <t xml:space="preserve">FY2024</t>
  </si>
  <si>
    <t xml:space="preserve">FY2025</t>
  </si>
  <si>
    <t xml:space="preserve">FY2026E</t>
  </si>
  <si>
    <t xml:space="preserve">FY2027E</t>
  </si>
  <si>
    <t xml:space="preserve">Source / Notes</t>
  </si>
  <si>
    <t xml:space="preserve">CONSOLIDATED</t>
  </si>
  <si>
    <t xml:space="preserve">Total Revenue ($M)</t>
  </si>
  <si>
    <t xml:space="preserve">CLF 10-K FY2025 p.60</t>
  </si>
  <si>
    <t xml:space="preserve">  Steelmaking Revenue ($M)</t>
  </si>
  <si>
    <t xml:space="preserve">CLF 10-K Note 4 p.75</t>
  </si>
  <si>
    <t xml:space="preserve">  Other Revenue (mining/elim) ($M)</t>
  </si>
  <si>
    <t xml:space="preserve">Total Shipments (K net tons)</t>
  </si>
  <si>
    <t xml:space="preserve">CLF 10-K MD&amp;A p.46</t>
  </si>
  <si>
    <t xml:space="preserve">Average Selling Price ($/ton)</t>
  </si>
  <si>
    <t xml:space="preserve">Formula: Revenue / Tons</t>
  </si>
  <si>
    <t xml:space="preserve">REVENUE BY PRODUCT TYPE — STEELMAKING ($M)</t>
  </si>
  <si>
    <t xml:space="preserve">  Hot-Rolled</t>
  </si>
  <si>
    <t xml:space="preserve">CLF 10-K Note 4</t>
  </si>
  <si>
    <t xml:space="preserve">  Cold-Rolled</t>
  </si>
  <si>
    <t xml:space="preserve">  Coated</t>
  </si>
  <si>
    <t xml:space="preserve">  Stainless &amp; Electrical</t>
  </si>
  <si>
    <t xml:space="preserve">CLF 10-K Note 4 — CRITICAL: $1,748M actual</t>
  </si>
  <si>
    <t xml:space="preserve">  Plate</t>
  </si>
  <si>
    <t xml:space="preserve">  Slab &amp; Other</t>
  </si>
  <si>
    <t xml:space="preserve">CLF 10-K Note 4; slab contract expired Dec 2025</t>
  </si>
  <si>
    <t xml:space="preserve">  Other Steelmaking</t>
  </si>
  <si>
    <t xml:space="preserve">CLF 10-K Note 4 (tooling, stamping, etc.)</t>
  </si>
  <si>
    <t xml:space="preserve">  Total Steelmaking Revenue Check</t>
  </si>
  <si>
    <t xml:space="preserve">Should match row 7</t>
  </si>
  <si>
    <t xml:space="preserve">SHIPMENTS BY PRODUCT TYPE (K net tons)</t>
  </si>
  <si>
    <t xml:space="preserve">CLF 10-K MD&amp;A</t>
  </si>
  <si>
    <t xml:space="preserve">CLF 10-K MD&amp;A — 3.4% of volume, 9.7% of revenue</t>
  </si>
  <si>
    <t xml:space="preserve">CLF 10-K MD&amp;A; slab expired</t>
  </si>
  <si>
    <t xml:space="preserve">  Total Shipments Check</t>
  </si>
  <si>
    <t xml:space="preserve">IMPLIED ASP BY PRODUCT ($/ton)</t>
  </si>
  <si>
    <t xml:space="preserve">  S&amp;E Average Selling Price</t>
  </si>
  <si>
    <t xml:space="preserve">S&amp;E Rev / S&amp;E Tons × 1000</t>
  </si>
  <si>
    <t xml:space="preserve">  Blended ASP (excl S&amp;E)</t>
  </si>
  <si>
    <t xml:space="preserve">(Total Rev - S&amp;E Rev) / (Total Tons - S&amp;E Tons)</t>
  </si>
  <si>
    <t xml:space="preserve">  S&amp;E ASP Premium (x Blended)</t>
  </si>
  <si>
    <t xml:space="preserve">How many x higher is S&amp;E vs blended</t>
  </si>
  <si>
    <t xml:space="preserve">REVENUE BY END MARKET — STEELMAKING ($M)</t>
  </si>
  <si>
    <t xml:space="preserve">  Direct Automotive</t>
  </si>
  <si>
    <t xml:space="preserve">  Infrastructure &amp; Manufacturing</t>
  </si>
  <si>
    <t xml:space="preserve">CLF 10-K Note 4; includes transformer/grid</t>
  </si>
  <si>
    <t xml:space="preserve">  Distributors &amp; Converters</t>
  </si>
  <si>
    <t xml:space="preserve">  Steel Producers</t>
  </si>
  <si>
    <t xml:space="preserve">CLF 10-K Note 4; declining w/ slab expiry</t>
  </si>
  <si>
    <t xml:space="preserve">  Total End Market Check</t>
  </si>
  <si>
    <t xml:space="preserve">GOES (Grain-Oriented Electrical Steel) — Segment Isolation (10-K Verified)</t>
  </si>
  <si>
    <t xml:space="preserve">10-K Note 4 reveals S&amp;E = $1,748M on 552K tons (FY2025). Previous estimate was $540M — 3.2x too low.</t>
  </si>
  <si>
    <t xml:space="preserve">Blue = assumption (editable). Yellow = key assumption. Black = formula.</t>
  </si>
  <si>
    <t xml:space="preserve">STAINLESS &amp; ELECTRICAL — VERIFIED FROM 10-K</t>
  </si>
  <si>
    <t xml:space="preserve">S&amp;E Revenue ($M)</t>
  </si>
  <si>
    <t xml:space="preserve">CLF 10-K Note 4 — ACTUAL DISCLOSURE</t>
  </si>
  <si>
    <t xml:space="preserve">S&amp;E Shipments (K tons)</t>
  </si>
  <si>
    <t xml:space="preserve">S&amp;E ASP ($/ton)</t>
  </si>
  <si>
    <t xml:space="preserve">Revenue / Tons × 1000</t>
  </si>
  <si>
    <t xml:space="preserve">S&amp;E as % of Steelmaking Revenue</t>
  </si>
  <si>
    <t xml:space="preserve">S&amp;E as % of Steelmaking Volume</t>
  </si>
  <si>
    <t xml:space="preserve">GOES ISOLATION WITHIN S&amp;E SEGMENT</t>
  </si>
  <si>
    <t xml:space="preserve">GOES as % of S&amp;E Revenue</t>
  </si>
  <si>
    <t xml:space="preserve">Estimate: GOES is majority of S&amp;E; balance is NOES + auto chrome + stainless</t>
  </si>
  <si>
    <t xml:space="preserve">Implied GOES Revenue ($M)</t>
  </si>
  <si>
    <t xml:space="preserve">S&amp;E Rev × GOES %</t>
  </si>
  <si>
    <t xml:space="preserve">GOES ASP ($/ton) — est. premium over S&amp;E</t>
  </si>
  <si>
    <t xml:space="preserve">GOES is highest-ASP within S&amp;E (Hi-B GOES &gt; NOES &gt; stainless)</t>
  </si>
  <si>
    <t xml:space="preserve">Implied GOES Volume (K tons)</t>
  </si>
  <si>
    <t xml:space="preserve">GOES Rev / GOES ASP × 1000</t>
  </si>
  <si>
    <t xml:space="preserve">NOES + Stainless + Auto Chrome Rev ($M)</t>
  </si>
  <si>
    <t xml:space="preserve">Residual: S&amp;E Rev - GOES Rev</t>
  </si>
  <si>
    <t xml:space="preserve">GOES MARGIN ESTIMATION</t>
  </si>
  <si>
    <t xml:space="preserve">GOES Gross Margin (%)</t>
  </si>
  <si>
    <t xml:space="preserve">Specialty steel margins: 30-40%. Protected pricing + tariffs.</t>
  </si>
  <si>
    <t xml:space="preserve">GOES Gross Profit ($M)</t>
  </si>
  <si>
    <t xml:space="preserve">GOES SGA Allocation (%)</t>
  </si>
  <si>
    <t xml:space="preserve">Lower SGA than carbon: captive demand, no broker/distribution</t>
  </si>
  <si>
    <t xml:space="preserve">GOES SGA ($M)</t>
  </si>
  <si>
    <t xml:space="preserve">GOES D&amp;A Allocation ($M)</t>
  </si>
  <si>
    <t xml:space="preserve">Est. share of $1,204M total D&amp;A (CLF 10-K)</t>
  </si>
  <si>
    <t xml:space="preserve">GOES EBITDA ($M)</t>
  </si>
  <si>
    <t xml:space="preserve">GP - SGA + D&amp;A addback (D&amp;A is non-cash)</t>
  </si>
  <si>
    <t xml:space="preserve">GOES EBITDA Margin (%)</t>
  </si>
  <si>
    <t xml:space="preserve">CARBON STEEL / OTHER — RESIDUAL CALCULATION</t>
  </si>
  <si>
    <t xml:space="preserve">Total CLF Adjusted EBITDA ($M)</t>
  </si>
  <si>
    <t xml:space="preserve">CLF 10-K; FY23 restated. FY26-27E = consensus est.</t>
  </si>
  <si>
    <t xml:space="preserve">Carbon Steel EBITDA ($M)</t>
  </si>
  <si>
    <t xml:space="preserve">Total EBITDA - GOES EBITDA</t>
  </si>
  <si>
    <t xml:space="preserve">Carbon Steel Revenue ($M)</t>
  </si>
  <si>
    <t xml:space="preserve">Steelmaking Rev - GOES Rev</t>
  </si>
  <si>
    <t xml:space="preserve">Carbon Steel EBITDA Margin (%)</t>
  </si>
  <si>
    <t xml:space="preserve">KEY FINDING: PREVIOUS MODEL vs 10-K ACTUAL</t>
  </si>
  <si>
    <t xml:space="preserve">Previous S&amp;E Revenue Estimate ($M)</t>
  </si>
  <si>
    <t xml:space="preserve">Used 3% revenue mix × $18B = $540M</t>
  </si>
  <si>
    <t xml:space="preserve">Actual S&amp;E Revenue (10-K Note 4)</t>
  </si>
  <si>
    <t xml:space="preserve">The filing shows S&amp;E is 9.7% of steelmaking revenue</t>
  </si>
  <si>
    <t xml:space="preserve">Estimation Error</t>
  </si>
  <si>
    <t xml:space="preserve">Our old model was 3.2x too low on S&amp;E revenue</t>
  </si>
  <si>
    <t xml:space="preserve">Why: S&amp;E is 3.4% of VOLUME but 9.7% of REVENUE</t>
  </si>
  <si>
    <t xml:space="preserve">ASP is ~$3,167/ton vs blended $1,005/ton = 3.15x premium</t>
  </si>
  <si>
    <t xml:space="preserve">Cleveland-Cliffs — Sum-of-Parts Valuation (Updated w/ 10-K Data)</t>
  </si>
  <si>
    <t xml:space="preserve">Based on FY2026E EBITDA. Blue = editable assumption.</t>
  </si>
  <si>
    <t xml:space="preserve">Segment</t>
  </si>
  <si>
    <t xml:space="preserve">FY2026E
EBITDA ($M)</t>
  </si>
  <si>
    <t xml:space="preserve">Appropriate
Multiple</t>
  </si>
  <si>
    <t xml:space="preserve">Implied
EV ($M)</t>
  </si>
  <si>
    <t xml:space="preserve">Multiple Rationale</t>
  </si>
  <si>
    <t xml:space="preserve">Comparable Companies</t>
  </si>
  <si>
    <t xml:space="preserve">Notes</t>
  </si>
  <si>
    <t xml:space="preserve">GOES Electrical Steel (Monopoly)</t>
  </si>
  <si>
    <t xml:space="preserve">Sole-source US producer. 80-230% tariff wall. Qualification lock-in. Secular demand: data centers + DOE mandate.</t>
  </si>
  <si>
    <t xml:space="preserve">Neo (NEO.TO) 12x; MP Materials 15x; Specialty chemicals 10-14x</t>
  </si>
  <si>
    <t xml:space="preserve">Conservative: could justify 14-16x given monopoly + secular demand</t>
  </si>
  <si>
    <t xml:space="preserve">Carbon Steel Platform (Commodity)</t>
  </si>
  <si>
    <t xml:space="preserve">Commodity steel with 50% Section 232 protection. Cyclical. Leveraged balance sheet warrants peer discount.</t>
  </si>
  <si>
    <t xml:space="preserve">Nucor 8x; STLD 7x; US Steel 6x; CLF discount for leverage</t>
  </si>
  <si>
    <t xml:space="preserve">Discounted vs peers: B+ credit, $7.3B debt, cyclical trough</t>
  </si>
  <si>
    <t xml:space="preserve">Weirton Transformer Plant (Option)</t>
  </si>
  <si>
    <t xml:space="preserve">Pre-revenue transformer mfg. Vertical integration into GOES consumption. Online H1 2026.</t>
  </si>
  <si>
    <t xml:space="preserve">N/A — option value</t>
  </si>
  <si>
    <t xml:space="preserve">Captive GOES demand floor + higher margins on finished transformers</t>
  </si>
  <si>
    <t xml:space="preserve">TOTAL ENTERPRISE VALUE (SOP)</t>
  </si>
  <si>
    <t xml:space="preserve">BRIDGE TO EQUITY VALUE</t>
  </si>
  <si>
    <t xml:space="preserve">Implied Enterprise Value</t>
  </si>
  <si>
    <t xml:space="preserve">Less: Net Debt</t>
  </si>
  <si>
    <t xml:space="preserve">CLF 10-K: $6,801M senior notes + $452M ABL</t>
  </si>
  <si>
    <t xml:space="preserve">Less: Minority Interest / Adjustments</t>
  </si>
  <si>
    <t xml:space="preserve">Stelco minority + pension obligations</t>
  </si>
  <si>
    <t xml:space="preserve">Plus: POSCO Strategic Partnership</t>
  </si>
  <si>
    <t xml:space="preserve">MOU signed Q3 2025; expected $700M equity/asset sale</t>
  </si>
  <si>
    <t xml:space="preserve">Implied Equity Value ($M)</t>
  </si>
  <si>
    <t xml:space="preserve">Shares Outstanding (M)</t>
  </si>
  <si>
    <t xml:space="preserve">CLF 10-K: 569.8M</t>
  </si>
  <si>
    <t xml:space="preserve">Implied Share Price</t>
  </si>
  <si>
    <t xml:space="preserve">Current Share Price</t>
  </si>
  <si>
    <t xml:space="preserve">Upside / (Downside)</t>
  </si>
  <si>
    <t xml:space="preserve">SENSITIVITY: GOES Multiple vs Carbon Steel Multiple</t>
  </si>
  <si>
    <t xml:space="preserve">CS 4.0x</t>
  </si>
  <si>
    <t xml:space="preserve">CS 4.5x</t>
  </si>
  <si>
    <t xml:space="preserve">CS 5.0x</t>
  </si>
  <si>
    <t xml:space="preserve">CS 5.5x</t>
  </si>
  <si>
    <t xml:space="preserve">CS 6.0x</t>
  </si>
  <si>
    <t xml:space="preserve">GOES 8.0x</t>
  </si>
  <si>
    <t xml:space="preserve">GOES 10.0x</t>
  </si>
  <si>
    <t xml:space="preserve">GOES 12.0x</t>
  </si>
  <si>
    <t xml:space="preserve">GOES 14.0x</t>
  </si>
  <si>
    <t xml:space="preserve">GOES 16.0x</t>
  </si>
  <si>
    <t xml:space="preserve">Transformer Value Chain — Who Gets Paid What</t>
  </si>
  <si>
    <t xml:space="preserve">The market priced transformer DEMAND into OEMs (Eaton 32x). It has NOT priced GOES SUPPLY into CLF (5x).</t>
  </si>
  <si>
    <t xml:space="preserve">Company</t>
  </si>
  <si>
    <t xml:space="preserve">Ticker</t>
  </si>
  <si>
    <t xml:space="preserve">Role in Chain</t>
  </si>
  <si>
    <t xml:space="preserve">Mkt Cap ($B)</t>
  </si>
  <si>
    <t xml:space="preserve">Rev ($B)</t>
  </si>
  <si>
    <t xml:space="preserve">EBITDA ($B)</t>
  </si>
  <si>
    <t xml:space="preserve">EV/EBITDA</t>
  </si>
  <si>
    <t xml:space="preserve">P/E</t>
  </si>
  <si>
    <t xml:space="preserve">Rev Gr YoY</t>
  </si>
  <si>
    <t xml:space="preserve">EBITDA Mgn</t>
  </si>
  <si>
    <t xml:space="preserve">Backlog / Demand Signal</t>
  </si>
  <si>
    <t xml:space="preserve">Priced In?</t>
  </si>
  <si>
    <t xml:space="preserve">GOES / INPUT SUPPLIER</t>
  </si>
  <si>
    <t xml:space="preserve">Cleveland-Cliffs</t>
  </si>
  <si>
    <t xml:space="preserve">CLF</t>
  </si>
  <si>
    <t xml:space="preserve">Only US GOES producer
(transformer core steel)</t>
  </si>
  <si>
    <t xml:space="preserve">N/M (trough)</t>
  </si>
  <si>
    <t xml:space="preserve">N/M</t>
  </si>
  <si>
    <t xml:space="preserve">Transformer backlog = GOES demand. Every transformer needs GOES. 274% demand growth since 2019.</t>
  </si>
  <si>
    <t xml:space="preserve">NOT PRICED IN
Market sees "steel cyclical"</t>
  </si>
  <si>
    <t xml:space="preserve">TRANSFORMER &amp; POWER DISTRIBUTION OEMs</t>
  </si>
  <si>
    <t xml:space="preserve">Eaton</t>
  </si>
  <si>
    <t xml:space="preserve">ETN</t>
  </si>
  <si>
    <t xml:space="preserve">Distribution transformers,
switchgear, UPS, PDUs</t>
  </si>
  <si>
    <t xml:space="preserve">32.0x</t>
  </si>
  <si>
    <t xml:space="preserve">31.0x</t>
  </si>
  <si>
    <t xml:space="preserve">Data center orders +70% Q3 2025. Electrical backlog +29%.</t>
  </si>
  <si>
    <t xml:space="preserve">FULLY PRICED
At 32x PE, all-time high</t>
  </si>
  <si>
    <t xml:space="preserve">Siemens Energy</t>
  </si>
  <si>
    <t xml:space="preserve">ENR.DE</t>
  </si>
  <si>
    <t xml:space="preserve">Large power transformers,
gas turbines, grid tech</t>
  </si>
  <si>
    <t xml:space="preserve">18.0x</t>
  </si>
  <si>
    <t xml:space="preserve">25.0x</t>
  </si>
  <si>
    <t xml:space="preserve">Record backlog. Building $150M Charlotte LPT factory.</t>
  </si>
  <si>
    <t xml:space="preserve">MOSTLY PRICED</t>
  </si>
  <si>
    <t xml:space="preserve">Hitachi Energy</t>
  </si>
  <si>
    <t xml:space="preserve">6501.T</t>
  </si>
  <si>
    <t xml:space="preserve">Large power transformers,
HVDC, grid automation</t>
  </si>
  <si>
    <t xml:space="preserve">19.0x</t>
  </si>
  <si>
    <t xml:space="preserve">28.0x</t>
  </si>
  <si>
    <t xml:space="preserve">Investing $1B+ in US capacity. South Boston VA plant.</t>
  </si>
  <si>
    <t xml:space="preserve">ABB</t>
  </si>
  <si>
    <t xml:space="preserve">ABBN.SW</t>
  </si>
  <si>
    <t xml:space="preserve">Power transformers,
distribution, drives</t>
  </si>
  <si>
    <t xml:space="preserve">16.0x</t>
  </si>
  <si>
    <t xml:space="preserve">24.0x</t>
  </si>
  <si>
    <t xml:space="preserve">Electrification segment organic +8%. Grid strong.</t>
  </si>
  <si>
    <t xml:space="preserve">PARTIALLY PRICED</t>
  </si>
  <si>
    <t xml:space="preserve">OTHER CRITICAL INPUT SUPPLIERS</t>
  </si>
  <si>
    <t xml:space="preserve">Freeport-McMoRan</t>
  </si>
  <si>
    <t xml:space="preserve">FCX</t>
  </si>
  <si>
    <t xml:space="preserve">Copper (30-40% of
transformer cost)</t>
  </si>
  <si>
    <t xml:space="preserve">7.5x</t>
  </si>
  <si>
    <t xml:space="preserve">12.0x</t>
  </si>
  <si>
    <t xml:space="preserve">Copper at ATH. Section 232 decision pending.</t>
  </si>
  <si>
    <t xml:space="preserve">THE GOES ARGUMENT: Why CLF at 5x Is Mispriced If Eaton at 32x Is Right</t>
  </si>
  <si>
    <t xml:space="preserve">Updated with 10-K verified data: S&amp;E = $1,748M (9.7% of revenue on 3.4% of volume)</t>
  </si>
  <si>
    <t xml:space="preserve">THE LOGIC CHAIN</t>
  </si>
  <si>
    <t xml:space="preserve">1. AI data centers need electricity</t>
  </si>
  <si>
    <t xml:space="preserve">Microsoft, Google, Amazon, Meta collectively planning 50+ GW of new data center capacity</t>
  </si>
  <si>
    <t xml:space="preserve">2. Electricity needs transformers</t>
  </si>
  <si>
    <t xml:space="preserve">Every 100MW campus = multiple LPTs + dozens of distribution transformers</t>
  </si>
  <si>
    <t xml:space="preserve">3. Transformer demand is up 274% since 2019</t>
  </si>
  <si>
    <t xml:space="preserve">Wood Mackenzie: 30% supply deficit in power transformers; 2-4 year lead times</t>
  </si>
  <si>
    <t xml:space="preserve">4. The market has priced this into OEMs</t>
  </si>
  <si>
    <t xml:space="preserve">Eaton at 32x P/E, all-time high. Siemens record backlog. Hitachi investing $1B+.</t>
  </si>
  <si>
    <t xml:space="preserve">5. Every transformer core is made of GOES</t>
  </si>
  <si>
    <t xml:space="preserve">GOES = 30-40% of transformer material cost. No substitute. No alternative material.</t>
  </si>
  <si>
    <t xml:space="preserve">6. CLF is the ONLY US producer of GOES</t>
  </si>
  <si>
    <t xml:space="preserve">Butler Works (PA) + Zanesville (OH) + Middletown (OH). Only domestic source. TRAN-COR brand.</t>
  </si>
  <si>
    <t xml:space="preserve">7. Imports face 80-230% effective tariffs</t>
  </si>
  <si>
    <t xml:space="preserve">Section 232 (50%) + anti-dumping/CVD (30-180%) = no viable import alternative</t>
  </si>
  <si>
    <t xml:space="preserve">8. CLF trades at 5x EBITDA</t>
  </si>
  <si>
    <t xml:space="preserve">Market prices CLF as "leveraged steel cyclical" — assigns $0 to GOES monopoly</t>
  </si>
  <si>
    <t xml:space="preserve">THE 10-K REVELATION</t>
  </si>
  <si>
    <t xml:space="preserve">S&amp;E is 3.4% of volume but 9.7% of revenue</t>
  </si>
  <si>
    <t xml:space="preserve">ASP of ~$3,167/ton vs blended $1,005/ton = 3.15x premium. This is the specialty materials pricing signal.</t>
  </si>
  <si>
    <t xml:space="preserve">S&amp;E revenue = $1,748M (FY2025)</t>
  </si>
  <si>
    <t xml:space="preserve">Our previous estimate was $540M using volume mix. The 10-K Note 4 product-line disclosure corrects this 3.2x underestimate.</t>
  </si>
  <si>
    <t xml:space="preserve">GOES is likely 55-62% of S&amp;E = $961-$1,084M</t>
  </si>
  <si>
    <t xml:space="preserve">Even at conservative GOES share, the monopoly business is ~$1B revenue — material to the thesis.</t>
  </si>
  <si>
    <t xml:space="preserve">Slab contract expired Dec 9, 2025</t>
  </si>
  <si>
    <t xml:space="preserve">~1.5M tons/yr at ~10% of volume. Unprofitable. Permanent removal = $500M+ EBITDA tailwind.</t>
  </si>
  <si>
    <t xml:space="preserve">Total D&amp;A = $1,204M; Adj EBITDA = $37M</t>
  </si>
  <si>
    <t xml:space="preserve">FY2025 was trough. Slab expiry + ASP recovery + tariffs = structural recovery, not cyclical hope.</t>
  </si>
  <si>
    <t xml:space="preserve">THE DISCONNECT</t>
  </si>
  <si>
    <t xml:space="preserve">Eaton at 32x says:</t>
  </si>
  <si>
    <t xml:space="preserve">"Transformer demand is exploding and will continue for years"</t>
  </si>
  <si>
    <t xml:space="preserve">CLF at 5x says:</t>
  </si>
  <si>
    <t xml:space="preserve">"This is just a cyclical steel company with too much debt"</t>
  </si>
  <si>
    <t xml:space="preserve">Both cannot be right.</t>
  </si>
  <si>
    <t xml:space="preserve">If Eaton is correct, then the sole-source supplier of the critical input material cannot be worth 5x.</t>
  </si>
  <si>
    <t xml:space="preserve">WHAT THE GOES MONOPOLY IS WORTH (UPDATED)</t>
  </si>
  <si>
    <t xml:space="preserve">GOES Revenue (est. 55% of $1,748M S&amp;E):</t>
  </si>
  <si>
    <t xml:space="preserve">~$961M — a material, near-billion-dollar business hidden inside a steel company</t>
  </si>
  <si>
    <t xml:space="preserve">GOES EBITDA at 30% margin:</t>
  </si>
  <si>
    <t xml:space="preserve">~$288M operating EBITDA from the monopoly segment alone</t>
  </si>
  <si>
    <t xml:space="preserve">At 12x EBITDA (specialty materials peer avg):</t>
  </si>
  <si>
    <t xml:space="preserve">GOES segment alone = ~$3.5B enterprise value</t>
  </si>
  <si>
    <t xml:space="preserve">CLF total current EV:</t>
  </si>
  <si>
    <t xml:space="preserve">~$13.4B ($6.1B market cap + $7.3B net debt)</t>
  </si>
  <si>
    <t xml:space="preserve">GOES as % of current EV:</t>
  </si>
  <si>
    <t xml:space="preserve">~26% at 12x — and the market is assigning it near 0%</t>
  </si>
  <si>
    <t xml:space="preserve">CATALYSTS TO FORCE RECOGNITION</t>
  </si>
  <si>
    <t xml:space="preserve">Q1 2026 Earnings (April 17)</t>
  </si>
  <si>
    <t xml:space="preserve">First clean quarter without slab drag. EBITDA recovery should be visible. Make-or-break print.</t>
  </si>
  <si>
    <t xml:space="preserve">POSCO Definitive Agreement</t>
  </si>
  <si>
    <t xml:space="preserve">$700M cash for deleveraging. Strategic validation from world #3 steelmaker.</t>
  </si>
  <si>
    <t xml:space="preserve">DOE Transformer Efficiency Mandate</t>
  </si>
  <si>
    <t xml:space="preserve">April 2029 compliance date. Creates regulatory pull for Hi-B GOES. CLF is only US source.</t>
  </si>
  <si>
    <t xml:space="preserve">Weirton Transformer Plant</t>
  </si>
  <si>
    <t xml:space="preserve">Vertical integration forward. CLF becomes GOES producer AND transformer manufacturer.</t>
  </si>
  <si>
    <t xml:space="preserve">Analyst Initiation with GOES Thesis</t>
  </si>
  <si>
    <t xml:space="preserve">Once the Street models GOES separately, re-rating follows. Currently 0 analysts model this way.</t>
  </si>
  <si>
    <t xml:space="preserve">CLF 10-K FY2025 — Key Data Points Extracted</t>
  </si>
  <si>
    <t xml:space="preserve">Source: CLF Form 10-K for fiscal year ended December 31, 2025 (filed Feb 2026)</t>
  </si>
  <si>
    <t xml:space="preserve">Data Point</t>
  </si>
  <si>
    <t xml:space="preserve">Value</t>
  </si>
  <si>
    <t xml:space="preserve">Page / Note</t>
  </si>
  <si>
    <t xml:space="preserve">Context</t>
  </si>
  <si>
    <t xml:space="preserve">CONSOLIDATED FINANCIALS</t>
  </si>
  <si>
    <t xml:space="preserve">Total Revenue</t>
  </si>
  <si>
    <t xml:space="preserve">$18,610M</t>
  </si>
  <si>
    <t xml:space="preserve">p.60</t>
  </si>
  <si>
    <t xml:space="preserve">Down from $19,246M (FY2024)</t>
  </si>
  <si>
    <t xml:space="preserve">Steelmaking Revenue</t>
  </si>
  <si>
    <t xml:space="preserve">$18,063M</t>
  </si>
  <si>
    <t xml:space="preserve">Note 5, p.84</t>
  </si>
  <si>
    <t xml:space="preserve">Includes intercompany eliminations</t>
  </si>
  <si>
    <t xml:space="preserve">Net Loss</t>
  </si>
  <si>
    <t xml:space="preserve">($1,428M)</t>
  </si>
  <si>
    <t xml:space="preserve">vs ($714M) FY2024</t>
  </si>
  <si>
    <t xml:space="preserve">Adjusted EBITDA</t>
  </si>
  <si>
    <t xml:space="preserve">$37M</t>
  </si>
  <si>
    <t xml:space="preserve">p.55</t>
  </si>
  <si>
    <t xml:space="preserve">vs $773M FY2024; trough year</t>
  </si>
  <si>
    <t xml:space="preserve">D&amp;A</t>
  </si>
  <si>
    <t xml:space="preserve">$1,235M</t>
  </si>
  <si>
    <t xml:space="preserve">p.52</t>
  </si>
  <si>
    <t xml:space="preserve">Up from $951M; Stelco + idle facilities</t>
  </si>
  <si>
    <t xml:space="preserve">Total Long-Term Debt</t>
  </si>
  <si>
    <t xml:space="preserve">$7,253M</t>
  </si>
  <si>
    <t xml:space="preserve">p.64</t>
  </si>
  <si>
    <t xml:space="preserve">Senior notes $6,801M + ABL $452M</t>
  </si>
  <si>
    <t xml:space="preserve">Shares Outstanding</t>
  </si>
  <si>
    <t xml:space="preserve">569.8M</t>
  </si>
  <si>
    <t xml:space="preserve">Diluted shares for EPS calculation</t>
  </si>
  <si>
    <t xml:space="preserve">Cash</t>
  </si>
  <si>
    <t xml:space="preserve">$57M</t>
  </si>
  <si>
    <t xml:space="preserve">Plus ABL availability = $3.3B total liquidity</t>
  </si>
  <si>
    <t xml:space="preserve">PRODUCT LINE REVENUE (Note 4)</t>
  </si>
  <si>
    <t xml:space="preserve">Hot-Rolled Revenue</t>
  </si>
  <si>
    <t xml:space="preserve">$4,770M</t>
  </si>
  <si>
    <t xml:space="preserve">Note 4, p.75</t>
  </si>
  <si>
    <t xml:space="preserve">Cold-Rolled Revenue</t>
  </si>
  <si>
    <t xml:space="preserve">$2,402M</t>
  </si>
  <si>
    <t xml:space="preserve">Coated Revenue</t>
  </si>
  <si>
    <t xml:space="preserve">$5,431M</t>
  </si>
  <si>
    <t xml:space="preserve">STAINLESS &amp; ELECTRICAL Revenue</t>
  </si>
  <si>
    <t xml:space="preserve">$1,748M</t>
  </si>
  <si>
    <t xml:space="preserve">KEY: was $2,281M (FY23), $1,807M (FY24)</t>
  </si>
  <si>
    <t xml:space="preserve">Plate Revenue</t>
  </si>
  <si>
    <t xml:space="preserve">$1,079M</t>
  </si>
  <si>
    <t xml:space="preserve">Slab &amp; Other Revenue</t>
  </si>
  <si>
    <t xml:space="preserve">$881M</t>
  </si>
  <si>
    <t xml:space="preserve">Down from $1,306M; slab contract winding down</t>
  </si>
  <si>
    <t xml:space="preserve">Other Steelmaking Revenue</t>
  </si>
  <si>
    <t xml:space="preserve">$1,642M</t>
  </si>
  <si>
    <t xml:space="preserve">SHIPMENTS (K net tons)</t>
  </si>
  <si>
    <t xml:space="preserve">Hot-Rolled</t>
  </si>
  <si>
    <t xml:space="preserve">6,484</t>
  </si>
  <si>
    <t xml:space="preserve">MD&amp;A p.46</t>
  </si>
  <si>
    <t xml:space="preserve">Up 16% YoY</t>
  </si>
  <si>
    <t xml:space="preserve">Cold-Rolled</t>
  </si>
  <si>
    <t xml:space="preserve">2,382</t>
  </si>
  <si>
    <t xml:space="preserve">Down 6%</t>
  </si>
  <si>
    <t xml:space="preserve">Coated</t>
  </si>
  <si>
    <t xml:space="preserve">4,486</t>
  </si>
  <si>
    <t xml:space="preserve">Flat</t>
  </si>
  <si>
    <t xml:space="preserve">Stainless &amp; Electrical</t>
  </si>
  <si>
    <t xml:space="preserve">552</t>
  </si>
  <si>
    <t xml:space="preserve">Down 3% from 567; 3.4% of total volume</t>
  </si>
  <si>
    <t xml:space="preserve">Plate</t>
  </si>
  <si>
    <t xml:space="preserve">863</t>
  </si>
  <si>
    <t xml:space="preserve">Up 14%</t>
  </si>
  <si>
    <t xml:space="preserve">Slab &amp; Other</t>
  </si>
  <si>
    <t xml:space="preserve">1,462</t>
  </si>
  <si>
    <t xml:space="preserve">Down 13%; slab contract expiring</t>
  </si>
  <si>
    <t xml:space="preserve">Total</t>
  </si>
  <si>
    <t xml:space="preserve">16,229</t>
  </si>
  <si>
    <t xml:space="preserve">Up 4% including Stelco</t>
  </si>
  <si>
    <t xml:space="preserve">SLAB CONTRACT</t>
  </si>
  <si>
    <t xml:space="preserve">Volume</t>
  </si>
  <si>
    <t xml:space="preserve">~1.5M tons/yr</t>
  </si>
  <si>
    <t xml:space="preserve">p.7</t>
  </si>
  <si>
    <t xml:space="preserve">~10% of sales volume</t>
  </si>
  <si>
    <t xml:space="preserve">Pricing</t>
  </si>
  <si>
    <t xml:space="preserve">Brazilian slab export</t>
  </si>
  <si>
    <t xml:space="preserve">p.15</t>
  </si>
  <si>
    <t xml:space="preserve">Negatively impacted by tariffs</t>
  </si>
  <si>
    <t xml:space="preserve">Profitability</t>
  </si>
  <si>
    <t xml:space="preserve">Unprofitable 2024-2025</t>
  </si>
  <si>
    <t xml:space="preserve">This is the $500M+ EBITDA swing</t>
  </si>
  <si>
    <t xml:space="preserve">Expiration</t>
  </si>
  <si>
    <t xml:space="preserve">December 9, 2025</t>
  </si>
  <si>
    <t xml:space="preserve">EXPIRED — NOT RENEWED</t>
  </si>
  <si>
    <t xml:space="preserve">GOES / ELECTRICAL STEEL FACILITIES</t>
  </si>
  <si>
    <t xml:space="preserve">Butler Works (PA)</t>
  </si>
  <si>
    <t xml:space="preserve">EAF, 0.3M nt</t>
  </si>
  <si>
    <t xml:space="preserve">p.33</t>
  </si>
  <si>
    <t xml:space="preserve">Primary GOES facility</t>
  </si>
  <si>
    <t xml:space="preserve">Middletown (OH)</t>
  </si>
  <si>
    <t xml:space="preserve">BF-BOF, 2.7M nt</t>
  </si>
  <si>
    <t xml:space="preserve">S&amp;E processing capability</t>
  </si>
  <si>
    <t xml:space="preserve">Zanesville (OH)</t>
  </si>
  <si>
    <t xml:space="preserve">S&amp;E processing</t>
  </si>
  <si>
    <t xml:space="preserve">Finishing facility</t>
  </si>
  <si>
    <t xml:space="preserve">Coshocton (OH)</t>
  </si>
  <si>
    <t xml:space="preserve">New bright anneal line</t>
  </si>
  <si>
    <t xml:space="preserve">p.4</t>
  </si>
  <si>
    <t xml:space="preserve">Commissioned 2025; GOES quality improvement</t>
  </si>
  <si>
    <t xml:space="preserve">KEY RATIOS (IMPLIED)</t>
  </si>
  <si>
    <t xml:space="preserve">S&amp;E ASP</t>
  </si>
  <si>
    <t xml:space="preserve">~$3,167/ton</t>
  </si>
  <si>
    <t xml:space="preserve">Calc</t>
  </si>
  <si>
    <t xml:space="preserve">$1,748M / 552K tons — 3.15x blended ASP</t>
  </si>
  <si>
    <t xml:space="preserve">S&amp;E % of Revenue</t>
  </si>
  <si>
    <t xml:space="preserve">9.7%</t>
  </si>
  <si>
    <t xml:space="preserve">$1,748M / $17,953M steelmaking revenue</t>
  </si>
  <si>
    <t xml:space="preserve">S&amp;E % of Volume</t>
  </si>
  <si>
    <t xml:space="preserve">3.4%</t>
  </si>
  <si>
    <t xml:space="preserve">552K / 16,229K total tons</t>
  </si>
  <si>
    <t xml:space="preserve">ASP Premium</t>
  </si>
  <si>
    <t xml:space="preserve">3.15x</t>
  </si>
  <si>
    <t xml:space="preserve">S&amp;E ASP / Blended ASP ($3,167 / $1,005)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</si>
</sst>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;\(#,##0\);\-"/>
    <numFmt numFmtId="167" formatCode="\$#,##0"/>
    <numFmt numFmtId="168" formatCode="0.0\x"/>
    <numFmt numFmtId="169" formatCode="0.0%"/>
    <numFmt numFmtId="170" formatCode="#,##0.0"/>
    <numFmt numFmtId="171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D7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4"/>
    <col collapsed="false" customWidth="true" hidden="false" outlineLevel="0" max="7" min="7" style="1" width="4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customFormat="false" ht="15" hidden="false" customHeight="true" outlineLevel="0" collapsed="false">
      <c r="A5" s="5" t="s">
        <v>8</v>
      </c>
    </row>
    <row r="6" customFormat="false" ht="15" hidden="false" customHeight="true" outlineLevel="0" collapsed="false">
      <c r="A6" s="6" t="s">
        <v>9</v>
      </c>
      <c r="B6" s="7" t="n">
        <v>21997</v>
      </c>
      <c r="C6" s="7" t="n">
        <v>19246</v>
      </c>
      <c r="D6" s="7" t="n">
        <v>18610</v>
      </c>
      <c r="E6" s="8" t="n">
        <v>20100</v>
      </c>
      <c r="F6" s="8" t="n">
        <v>20800</v>
      </c>
      <c r="G6" s="9" t="s">
        <v>10</v>
      </c>
    </row>
    <row r="7" customFormat="false" ht="15" hidden="false" customHeight="true" outlineLevel="0" collapsed="false">
      <c r="A7" s="10" t="s">
        <v>11</v>
      </c>
      <c r="B7" s="7" t="n">
        <v>21380</v>
      </c>
      <c r="C7" s="7" t="n">
        <v>18448</v>
      </c>
      <c r="D7" s="7" t="n">
        <v>17953</v>
      </c>
      <c r="E7" s="8" t="n">
        <v>19500</v>
      </c>
      <c r="F7" s="8" t="n">
        <v>20200</v>
      </c>
      <c r="G7" s="9" t="s">
        <v>12</v>
      </c>
    </row>
    <row r="8" customFormat="false" ht="15" hidden="false" customHeight="true" outlineLevel="0" collapsed="false">
      <c r="A8" s="10" t="s">
        <v>13</v>
      </c>
      <c r="B8" s="11" t="n">
        <f aca="false">B6-B7</f>
        <v>617</v>
      </c>
      <c r="C8" s="11" t="n">
        <f aca="false">C6-C7</f>
        <v>798</v>
      </c>
      <c r="D8" s="11" t="n">
        <f aca="false">D6-D7</f>
        <v>657</v>
      </c>
      <c r="E8" s="11" t="n">
        <f aca="false">E6-E7</f>
        <v>600</v>
      </c>
      <c r="F8" s="11" t="n">
        <f aca="false">F6-F7</f>
        <v>600</v>
      </c>
      <c r="G8" s="9"/>
    </row>
    <row r="9" customFormat="false" ht="15" hidden="false" customHeight="true" outlineLevel="0" collapsed="false">
      <c r="A9" s="10" t="s">
        <v>14</v>
      </c>
      <c r="B9" s="12" t="n">
        <v>16367</v>
      </c>
      <c r="C9" s="12" t="n">
        <v>15609</v>
      </c>
      <c r="D9" s="12" t="n">
        <v>16229</v>
      </c>
      <c r="E9" s="13" t="n">
        <v>16500</v>
      </c>
      <c r="F9" s="13" t="n">
        <v>16800</v>
      </c>
      <c r="G9" s="9" t="s">
        <v>15</v>
      </c>
    </row>
    <row r="10" customFormat="false" ht="15" hidden="false" customHeight="true" outlineLevel="0" collapsed="false">
      <c r="A10" s="10" t="s">
        <v>16</v>
      </c>
      <c r="B10" s="14" t="n">
        <f aca="false">B7/B9*1000</f>
        <v>1306.28704099713</v>
      </c>
      <c r="C10" s="14" t="n">
        <f aca="false">C7/C9*1000</f>
        <v>1181.88224742136</v>
      </c>
      <c r="D10" s="14" t="n">
        <f aca="false">D7/D9*1000</f>
        <v>1106.22958900733</v>
      </c>
      <c r="E10" s="14" t="n">
        <f aca="false">E7/E9*1000</f>
        <v>1181.81818181818</v>
      </c>
      <c r="F10" s="14" t="n">
        <f aca="false">F7/F9*1000</f>
        <v>1202.38095238095</v>
      </c>
      <c r="G10" s="15" t="s">
        <v>17</v>
      </c>
    </row>
    <row r="12" customFormat="false" ht="15" hidden="false" customHeight="true" outlineLevel="0" collapsed="false">
      <c r="A12" s="5" t="s">
        <v>18</v>
      </c>
    </row>
    <row r="13" customFormat="false" ht="15" hidden="false" customHeight="true" outlineLevel="0" collapsed="false">
      <c r="A13" s="10" t="s">
        <v>19</v>
      </c>
      <c r="B13" s="7" t="n">
        <v>5789</v>
      </c>
      <c r="C13" s="7" t="n">
        <v>4519</v>
      </c>
      <c r="D13" s="7" t="n">
        <v>4770</v>
      </c>
      <c r="E13" s="8" t="n">
        <v>5100</v>
      </c>
      <c r="F13" s="8" t="n">
        <v>5300</v>
      </c>
      <c r="G13" s="9" t="s">
        <v>20</v>
      </c>
    </row>
    <row r="14" customFormat="false" ht="15" hidden="false" customHeight="true" outlineLevel="0" collapsed="false">
      <c r="A14" s="10" t="s">
        <v>21</v>
      </c>
      <c r="B14" s="7" t="n">
        <v>2714</v>
      </c>
      <c r="C14" s="7" t="n">
        <v>2410</v>
      </c>
      <c r="D14" s="7" t="n">
        <v>2402</v>
      </c>
      <c r="E14" s="8" t="n">
        <v>2550</v>
      </c>
      <c r="F14" s="8" t="n">
        <v>2650</v>
      </c>
      <c r="G14" s="9" t="s">
        <v>20</v>
      </c>
    </row>
    <row r="15" customFormat="false" ht="15" hidden="false" customHeight="true" outlineLevel="0" collapsed="false">
      <c r="A15" s="10" t="s">
        <v>22</v>
      </c>
      <c r="B15" s="7" t="n">
        <v>5874</v>
      </c>
      <c r="C15" s="7" t="n">
        <v>5338</v>
      </c>
      <c r="D15" s="7" t="n">
        <v>5431</v>
      </c>
      <c r="E15" s="8" t="n">
        <v>5700</v>
      </c>
      <c r="F15" s="8" t="n">
        <v>5900</v>
      </c>
      <c r="G15" s="9" t="s">
        <v>20</v>
      </c>
    </row>
    <row r="16" customFormat="false" ht="15" hidden="false" customHeight="true" outlineLevel="0" collapsed="false">
      <c r="A16" s="16" t="s">
        <v>23</v>
      </c>
      <c r="B16" s="7" t="n">
        <v>2281</v>
      </c>
      <c r="C16" s="7" t="n">
        <v>1807</v>
      </c>
      <c r="D16" s="7" t="n">
        <v>1748</v>
      </c>
      <c r="E16" s="8" t="n">
        <v>1950</v>
      </c>
      <c r="F16" s="8" t="n">
        <v>2200</v>
      </c>
      <c r="G16" s="15" t="s">
        <v>24</v>
      </c>
    </row>
    <row r="17" customFormat="false" ht="15" hidden="false" customHeight="true" outlineLevel="0" collapsed="false">
      <c r="A17" s="10" t="s">
        <v>25</v>
      </c>
      <c r="B17" s="7" t="n">
        <v>855</v>
      </c>
      <c r="C17" s="7" t="n">
        <v>924</v>
      </c>
      <c r="D17" s="7" t="n">
        <v>1079</v>
      </c>
      <c r="E17" s="8" t="n">
        <v>1100</v>
      </c>
      <c r="F17" s="8" t="n">
        <v>1150</v>
      </c>
      <c r="G17" s="9" t="s">
        <v>20</v>
      </c>
    </row>
    <row r="18" customFormat="false" ht="15" hidden="false" customHeight="true" outlineLevel="0" collapsed="false">
      <c r="A18" s="10" t="s">
        <v>26</v>
      </c>
      <c r="B18" s="7" t="n">
        <v>1587</v>
      </c>
      <c r="C18" s="7" t="n">
        <v>1306</v>
      </c>
      <c r="D18" s="7" t="n">
        <v>881</v>
      </c>
      <c r="E18" s="8" t="n">
        <v>500</v>
      </c>
      <c r="F18" s="8" t="n">
        <v>300</v>
      </c>
      <c r="G18" s="15" t="s">
        <v>27</v>
      </c>
    </row>
    <row r="19" customFormat="false" ht="15" hidden="false" customHeight="true" outlineLevel="0" collapsed="false">
      <c r="A19" s="10" t="s">
        <v>28</v>
      </c>
      <c r="B19" s="7" t="n">
        <v>2280</v>
      </c>
      <c r="C19" s="7" t="n">
        <v>2144</v>
      </c>
      <c r="D19" s="7" t="n">
        <v>1642</v>
      </c>
      <c r="E19" s="8" t="n">
        <v>1600</v>
      </c>
      <c r="F19" s="8" t="n">
        <v>1700</v>
      </c>
      <c r="G19" s="15" t="s">
        <v>29</v>
      </c>
    </row>
    <row r="20" customFormat="false" ht="15" hidden="false" customHeight="true" outlineLevel="0" collapsed="false">
      <c r="A20" s="17" t="s">
        <v>30</v>
      </c>
      <c r="B20" s="18" t="n">
        <f aca="false">SUM(B13:B19)</f>
        <v>21380</v>
      </c>
      <c r="C20" s="18" t="n">
        <f aca="false">SUM(C13:C19)</f>
        <v>18448</v>
      </c>
      <c r="D20" s="18" t="n">
        <f aca="false">SUM(D13:D19)</f>
        <v>17953</v>
      </c>
      <c r="E20" s="18" t="n">
        <f aca="false">SUM(E13:E19)</f>
        <v>18500</v>
      </c>
      <c r="F20" s="18" t="n">
        <f aca="false">SUM(F13:F19)</f>
        <v>19200</v>
      </c>
      <c r="G20" s="9" t="s">
        <v>31</v>
      </c>
    </row>
    <row r="23" customFormat="false" ht="15" hidden="false" customHeight="true" outlineLevel="0" collapsed="false">
      <c r="A23" s="5" t="s">
        <v>32</v>
      </c>
    </row>
    <row r="24" customFormat="false" ht="15" hidden="false" customHeight="true" outlineLevel="0" collapsed="false">
      <c r="A24" s="10" t="s">
        <v>19</v>
      </c>
      <c r="B24" s="12" t="n">
        <v>5575</v>
      </c>
      <c r="C24" s="12" t="n">
        <v>5584</v>
      </c>
      <c r="D24" s="12" t="n">
        <v>6484</v>
      </c>
      <c r="E24" s="13" t="n">
        <v>6600</v>
      </c>
      <c r="F24" s="13" t="n">
        <v>6700</v>
      </c>
      <c r="G24" s="9" t="s">
        <v>15</v>
      </c>
    </row>
    <row r="25" customFormat="false" ht="15" hidden="false" customHeight="true" outlineLevel="0" collapsed="false">
      <c r="A25" s="10" t="s">
        <v>21</v>
      </c>
      <c r="B25" s="12" t="n">
        <v>2361</v>
      </c>
      <c r="C25" s="12" t="n">
        <v>2527</v>
      </c>
      <c r="D25" s="12" t="n">
        <v>2382</v>
      </c>
      <c r="E25" s="13" t="n">
        <v>2450</v>
      </c>
      <c r="F25" s="13" t="n">
        <v>2500</v>
      </c>
      <c r="G25" s="9" t="s">
        <v>33</v>
      </c>
    </row>
    <row r="26" customFormat="false" ht="15" hidden="false" customHeight="true" outlineLevel="0" collapsed="false">
      <c r="A26" s="10" t="s">
        <v>22</v>
      </c>
      <c r="B26" s="12" t="n">
        <v>3851</v>
      </c>
      <c r="C26" s="12" t="n">
        <v>4473</v>
      </c>
      <c r="D26" s="12" t="n">
        <v>4486</v>
      </c>
      <c r="E26" s="13" t="n">
        <v>4550</v>
      </c>
      <c r="F26" s="13" t="n">
        <v>4600</v>
      </c>
      <c r="G26" s="9" t="s">
        <v>33</v>
      </c>
    </row>
    <row r="27" customFormat="false" ht="15" hidden="false" customHeight="true" outlineLevel="0" collapsed="false">
      <c r="A27" s="16" t="s">
        <v>23</v>
      </c>
      <c r="B27" s="12" t="n">
        <v>510</v>
      </c>
      <c r="C27" s="12" t="n">
        <v>567</v>
      </c>
      <c r="D27" s="12" t="n">
        <v>552</v>
      </c>
      <c r="E27" s="13" t="n">
        <v>570</v>
      </c>
      <c r="F27" s="13" t="n">
        <v>600</v>
      </c>
      <c r="G27" s="15" t="s">
        <v>34</v>
      </c>
    </row>
    <row r="28" customFormat="false" ht="15" hidden="false" customHeight="true" outlineLevel="0" collapsed="false">
      <c r="A28" s="10" t="s">
        <v>25</v>
      </c>
      <c r="B28" s="12" t="n">
        <v>703</v>
      </c>
      <c r="C28" s="12" t="n">
        <v>759</v>
      </c>
      <c r="D28" s="12" t="n">
        <v>863</v>
      </c>
      <c r="E28" s="13" t="n">
        <v>880</v>
      </c>
      <c r="F28" s="13" t="n">
        <v>900</v>
      </c>
      <c r="G28" s="9" t="s">
        <v>33</v>
      </c>
    </row>
    <row r="29" customFormat="false" ht="15" hidden="false" customHeight="true" outlineLevel="0" collapsed="false">
      <c r="A29" s="10" t="s">
        <v>26</v>
      </c>
      <c r="B29" s="12" t="n">
        <v>3367</v>
      </c>
      <c r="C29" s="12" t="n">
        <v>1699</v>
      </c>
      <c r="D29" s="12" t="n">
        <v>1462</v>
      </c>
      <c r="E29" s="13" t="n">
        <v>450</v>
      </c>
      <c r="F29" s="13" t="n">
        <v>200</v>
      </c>
      <c r="G29" s="15" t="s">
        <v>35</v>
      </c>
    </row>
    <row r="30" customFormat="false" ht="15" hidden="false" customHeight="true" outlineLevel="0" collapsed="false">
      <c r="A30" s="17" t="s">
        <v>36</v>
      </c>
      <c r="B30" s="19" t="n">
        <f aca="false">SUM(B24:B29)</f>
        <v>16367</v>
      </c>
      <c r="C30" s="19" t="n">
        <f aca="false">SUM(C24:C29)</f>
        <v>15609</v>
      </c>
      <c r="D30" s="19" t="n">
        <f aca="false">SUM(D24:D29)</f>
        <v>16229</v>
      </c>
      <c r="E30" s="19" t="n">
        <f aca="false">SUM(E24:E29)</f>
        <v>15500</v>
      </c>
      <c r="F30" s="19" t="n">
        <f aca="false">SUM(F24:F29)</f>
        <v>15500</v>
      </c>
      <c r="G30" s="9"/>
    </row>
    <row r="33" customFormat="false" ht="15" hidden="false" customHeight="true" outlineLevel="0" collapsed="false">
      <c r="A33" s="5" t="s">
        <v>37</v>
      </c>
    </row>
    <row r="34" customFormat="false" ht="15" hidden="false" customHeight="true" outlineLevel="0" collapsed="false">
      <c r="A34" s="16" t="s">
        <v>38</v>
      </c>
      <c r="B34" s="20" t="n">
        <f aca="false">B16/B27*1000</f>
        <v>4472.54901960784</v>
      </c>
      <c r="C34" s="20" t="n">
        <f aca="false">C16/C27*1000</f>
        <v>3186.94885361552</v>
      </c>
      <c r="D34" s="20" t="n">
        <f aca="false">D16/D27*1000</f>
        <v>3166.66666666667</v>
      </c>
      <c r="E34" s="20" t="n">
        <f aca="false">E16/E27*1000</f>
        <v>3421.05263157895</v>
      </c>
      <c r="F34" s="20" t="n">
        <f aca="false">F16/F27*1000</f>
        <v>3666.66666666667</v>
      </c>
      <c r="G34" s="15" t="s">
        <v>39</v>
      </c>
    </row>
    <row r="35" customFormat="false" ht="15" hidden="false" customHeight="true" outlineLevel="0" collapsed="false">
      <c r="A35" s="10" t="s">
        <v>40</v>
      </c>
      <c r="B35" s="14" t="n">
        <f aca="false">(B7-B16)/(B9-B27)*1000</f>
        <v>1204.45229236299</v>
      </c>
      <c r="C35" s="14" t="n">
        <f aca="false">(C7-C16)/(C9-C27)*1000</f>
        <v>1106.30235341045</v>
      </c>
      <c r="D35" s="14" t="n">
        <f aca="false">(D7-D16)/(D9-D27)*1000</f>
        <v>1033.67991324871</v>
      </c>
      <c r="E35" s="14" t="n">
        <f aca="false">(E7-E16)/(E9-E27)*1000</f>
        <v>1101.69491525424</v>
      </c>
      <c r="F35" s="14" t="n">
        <f aca="false">(F7-F16)/(F9-F27)*1000</f>
        <v>1111.11111111111</v>
      </c>
      <c r="G35" s="15" t="s">
        <v>41</v>
      </c>
    </row>
    <row r="36" customFormat="false" ht="15" hidden="false" customHeight="true" outlineLevel="0" collapsed="false">
      <c r="A36" s="6" t="s">
        <v>42</v>
      </c>
      <c r="B36" s="21" t="n">
        <f aca="false">B34/B35</f>
        <v>3.71334676181588</v>
      </c>
      <c r="C36" s="21" t="n">
        <f aca="false">C34/C35</f>
        <v>2.88072139030615</v>
      </c>
      <c r="D36" s="21" t="n">
        <f aca="false">D34/D35</f>
        <v>3.0634886351949</v>
      </c>
      <c r="E36" s="21" t="n">
        <f aca="false">E34/E35</f>
        <v>3.10526315789474</v>
      </c>
      <c r="F36" s="21" t="n">
        <f aca="false">F34/F35</f>
        <v>3.3</v>
      </c>
      <c r="G36" s="15" t="s">
        <v>43</v>
      </c>
    </row>
    <row r="38" customFormat="false" ht="15" hidden="false" customHeight="true" outlineLevel="0" collapsed="false">
      <c r="A38" s="5" t="s">
        <v>44</v>
      </c>
    </row>
    <row r="39" customFormat="false" ht="15" hidden="false" customHeight="true" outlineLevel="0" collapsed="false">
      <c r="A39" s="10" t="s">
        <v>45</v>
      </c>
      <c r="B39" s="7" t="n">
        <v>6321</v>
      </c>
      <c r="C39" s="7" t="n">
        <v>5410</v>
      </c>
      <c r="D39" s="7" t="n">
        <v>5047</v>
      </c>
      <c r="E39" s="8" t="n">
        <v>5200</v>
      </c>
      <c r="F39" s="8" t="n">
        <v>5400</v>
      </c>
      <c r="G39" s="9" t="s">
        <v>20</v>
      </c>
    </row>
    <row r="40" customFormat="false" ht="15" hidden="false" customHeight="true" outlineLevel="0" collapsed="false">
      <c r="A40" s="10" t="s">
        <v>46</v>
      </c>
      <c r="B40" s="7" t="n">
        <v>5988</v>
      </c>
      <c r="C40" s="7" t="n">
        <v>5189</v>
      </c>
      <c r="D40" s="7" t="n">
        <v>5377</v>
      </c>
      <c r="E40" s="8" t="n">
        <v>5700</v>
      </c>
      <c r="F40" s="8" t="n">
        <v>6100</v>
      </c>
      <c r="G40" s="15" t="s">
        <v>47</v>
      </c>
    </row>
    <row r="41" customFormat="false" ht="15" hidden="false" customHeight="true" outlineLevel="0" collapsed="false">
      <c r="A41" s="10" t="s">
        <v>48</v>
      </c>
      <c r="B41" s="7" t="n">
        <v>6272</v>
      </c>
      <c r="C41" s="7" t="n">
        <v>5289</v>
      </c>
      <c r="D41" s="7" t="n">
        <v>5195</v>
      </c>
      <c r="E41" s="8" t="n">
        <v>5300</v>
      </c>
      <c r="F41" s="8" t="n">
        <v>5500</v>
      </c>
      <c r="G41" s="9" t="s">
        <v>20</v>
      </c>
    </row>
    <row r="42" customFormat="false" ht="15" hidden="false" customHeight="true" outlineLevel="0" collapsed="false">
      <c r="A42" s="10" t="s">
        <v>49</v>
      </c>
      <c r="B42" s="7" t="n">
        <v>2799</v>
      </c>
      <c r="C42" s="7" t="n">
        <v>2560</v>
      </c>
      <c r="D42" s="7" t="n">
        <v>2334</v>
      </c>
      <c r="E42" s="8" t="n">
        <v>1800</v>
      </c>
      <c r="F42" s="8" t="n">
        <v>1500</v>
      </c>
      <c r="G42" s="15" t="s">
        <v>50</v>
      </c>
    </row>
    <row r="43" customFormat="false" ht="15" hidden="false" customHeight="true" outlineLevel="0" collapsed="false">
      <c r="A43" s="6" t="s">
        <v>51</v>
      </c>
      <c r="B43" s="18" t="n">
        <f aca="false">SUM(B39:B42)</f>
        <v>21380</v>
      </c>
      <c r="C43" s="18" t="n">
        <f aca="false">SUM(C39:C42)</f>
        <v>18448</v>
      </c>
      <c r="D43" s="18" t="n">
        <f aca="false">SUM(D39:D42)</f>
        <v>17953</v>
      </c>
      <c r="E43" s="18" t="n">
        <f aca="false">SUM(E39:E42)</f>
        <v>18000</v>
      </c>
      <c r="F43" s="18" t="n">
        <f aca="false">SUM(F39:F42)</f>
        <v>18500</v>
      </c>
      <c r="G4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4"/>
    <col collapsed="false" customWidth="true" hidden="false" outlineLevel="0" max="7" min="7" style="1" width="52"/>
  </cols>
  <sheetData>
    <row r="1" customFormat="false" ht="15" hidden="false" customHeight="true" outlineLevel="0" collapsed="false">
      <c r="A1" s="2" t="s">
        <v>52</v>
      </c>
    </row>
    <row r="2" customFormat="false" ht="15" hidden="false" customHeight="true" outlineLevel="0" collapsed="false">
      <c r="A2" s="3" t="s">
        <v>53</v>
      </c>
    </row>
    <row r="3" customFormat="false" ht="15" hidden="false" customHeight="true" outlineLevel="0" collapsed="false">
      <c r="A3" s="3" t="s">
        <v>54</v>
      </c>
    </row>
    <row r="5" customFormat="false" ht="15" hidden="false" customHeight="true" outlineLevel="0" collapsed="false">
      <c r="A5" s="4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customFormat="false" ht="15" hidden="false" customHeight="true" outlineLevel="0" collapsed="false">
      <c r="A6" s="22" t="s">
        <v>55</v>
      </c>
    </row>
    <row r="7" customFormat="false" ht="15" hidden="false" customHeight="true" outlineLevel="0" collapsed="false">
      <c r="A7" s="16" t="s">
        <v>56</v>
      </c>
      <c r="B7" s="7" t="n">
        <v>2281</v>
      </c>
      <c r="C7" s="7" t="n">
        <v>1807</v>
      </c>
      <c r="D7" s="7" t="n">
        <v>1748</v>
      </c>
      <c r="E7" s="8" t="n">
        <v>1950</v>
      </c>
      <c r="F7" s="8" t="n">
        <v>2200</v>
      </c>
      <c r="G7" s="15" t="s">
        <v>57</v>
      </c>
    </row>
    <row r="8" customFormat="false" ht="15" hidden="false" customHeight="true" outlineLevel="0" collapsed="false">
      <c r="A8" s="6" t="s">
        <v>58</v>
      </c>
      <c r="B8" s="12" t="n">
        <v>510</v>
      </c>
      <c r="C8" s="12" t="n">
        <v>567</v>
      </c>
      <c r="D8" s="12" t="n">
        <v>552</v>
      </c>
      <c r="E8" s="13" t="n">
        <v>570</v>
      </c>
      <c r="F8" s="13" t="n">
        <v>600</v>
      </c>
      <c r="G8" s="9" t="s">
        <v>33</v>
      </c>
    </row>
    <row r="9" customFormat="false" ht="15" hidden="false" customHeight="true" outlineLevel="0" collapsed="false">
      <c r="A9" s="6" t="s">
        <v>59</v>
      </c>
      <c r="B9" s="20" t="n">
        <f aca="false">B7/B8*1000</f>
        <v>4472.54901960784</v>
      </c>
      <c r="C9" s="20" t="n">
        <f aca="false">C7/C8*1000</f>
        <v>3186.94885361552</v>
      </c>
      <c r="D9" s="20" t="n">
        <f aca="false">D7/D8*1000</f>
        <v>3166.66666666667</v>
      </c>
      <c r="E9" s="20" t="n">
        <f aca="false">E7/E8*1000</f>
        <v>3421.05263157895</v>
      </c>
      <c r="F9" s="20" t="n">
        <f aca="false">F7/F8*1000</f>
        <v>3666.66666666667</v>
      </c>
      <c r="G9" s="15" t="s">
        <v>60</v>
      </c>
    </row>
    <row r="10" customFormat="false" ht="15" hidden="false" customHeight="true" outlineLevel="0" collapsed="false">
      <c r="A10" s="10" t="s">
        <v>61</v>
      </c>
      <c r="B10" s="23" t="n">
        <f aca="false">B7/'Revenue Decomposition'!B7</f>
        <v>0.106688493919551</v>
      </c>
      <c r="C10" s="23" t="n">
        <f aca="false">C7/'Revenue Decomposition'!C7</f>
        <v>0.0979509973980919</v>
      </c>
      <c r="D10" s="23" t="n">
        <f aca="false">D7/'Revenue Decomposition'!D7</f>
        <v>0.0973653428396368</v>
      </c>
      <c r="E10" s="23" t="n">
        <f aca="false">E7/'Revenue Decomposition'!E7</f>
        <v>0.1</v>
      </c>
      <c r="F10" s="23" t="n">
        <f aca="false">F7/'Revenue Decomposition'!F7</f>
        <v>0.108910891089109</v>
      </c>
      <c r="G10" s="9"/>
    </row>
    <row r="11" customFormat="false" ht="15" hidden="false" customHeight="true" outlineLevel="0" collapsed="false">
      <c r="A11" s="10" t="s">
        <v>62</v>
      </c>
      <c r="B11" s="23" t="n">
        <f aca="false">B8/'Revenue Decomposition'!B9</f>
        <v>0.0311602615018024</v>
      </c>
      <c r="C11" s="23" t="n">
        <f aca="false">C8/'Revenue Decomposition'!C9</f>
        <v>0.0363251970017298</v>
      </c>
      <c r="D11" s="23" t="n">
        <f aca="false">D8/'Revenue Decomposition'!D9</f>
        <v>0.0340131862714893</v>
      </c>
      <c r="E11" s="23" t="n">
        <f aca="false">E8/'Revenue Decomposition'!E9</f>
        <v>0.0345454545454545</v>
      </c>
      <c r="F11" s="23" t="n">
        <f aca="false">F8/'Revenue Decomposition'!F9</f>
        <v>0.0357142857142857</v>
      </c>
      <c r="G11" s="9"/>
    </row>
    <row r="13" customFormat="false" ht="15" hidden="false" customHeight="true" outlineLevel="0" collapsed="false">
      <c r="A13" s="22" t="s">
        <v>63</v>
      </c>
    </row>
    <row r="14" customFormat="false" ht="21.75" hidden="false" customHeight="true" outlineLevel="0" collapsed="false">
      <c r="A14" s="16" t="s">
        <v>64</v>
      </c>
      <c r="B14" s="24" t="n">
        <v>0.55</v>
      </c>
      <c r="C14" s="24" t="n">
        <v>0.55</v>
      </c>
      <c r="D14" s="24" t="n">
        <v>0.55</v>
      </c>
      <c r="E14" s="25" t="n">
        <v>0.58</v>
      </c>
      <c r="F14" s="25" t="n">
        <v>0.62</v>
      </c>
      <c r="G14" s="15" t="s">
        <v>65</v>
      </c>
    </row>
    <row r="15" customFormat="false" ht="15" hidden="false" customHeight="true" outlineLevel="0" collapsed="false">
      <c r="A15" s="6" t="s">
        <v>66</v>
      </c>
      <c r="B15" s="18" t="n">
        <f aca="false">B7*B14</f>
        <v>1254.55</v>
      </c>
      <c r="C15" s="18" t="n">
        <f aca="false">C7*C14</f>
        <v>993.85</v>
      </c>
      <c r="D15" s="18" t="n">
        <f aca="false">D7*D14</f>
        <v>961.4</v>
      </c>
      <c r="E15" s="18" t="n">
        <f aca="false">E7*E14</f>
        <v>1131</v>
      </c>
      <c r="F15" s="18" t="n">
        <f aca="false">F7*F14</f>
        <v>1364</v>
      </c>
      <c r="G15" s="9" t="s">
        <v>67</v>
      </c>
    </row>
    <row r="16" customFormat="false" ht="15" hidden="false" customHeight="true" outlineLevel="0" collapsed="false">
      <c r="A16" s="10" t="s">
        <v>68</v>
      </c>
      <c r="B16" s="26" t="n">
        <v>4200</v>
      </c>
      <c r="C16" s="26" t="n">
        <v>4500</v>
      </c>
      <c r="D16" s="26" t="n">
        <v>4800</v>
      </c>
      <c r="E16" s="27" t="n">
        <v>5200</v>
      </c>
      <c r="F16" s="27" t="n">
        <v>5500</v>
      </c>
      <c r="G16" s="15" t="s">
        <v>69</v>
      </c>
    </row>
    <row r="17" customFormat="false" ht="15" hidden="false" customHeight="true" outlineLevel="0" collapsed="false">
      <c r="A17" s="10" t="s">
        <v>70</v>
      </c>
      <c r="B17" s="28" t="n">
        <f aca="false">B15/B16*1000</f>
        <v>298.702380952381</v>
      </c>
      <c r="C17" s="28" t="n">
        <f aca="false">C15/C16*1000</f>
        <v>220.855555555556</v>
      </c>
      <c r="D17" s="28" t="n">
        <f aca="false">D15/D16*1000</f>
        <v>200.291666666667</v>
      </c>
      <c r="E17" s="28" t="n">
        <f aca="false">E15/E16*1000</f>
        <v>217.5</v>
      </c>
      <c r="F17" s="28" t="n">
        <f aca="false">F15/F16*1000</f>
        <v>248</v>
      </c>
      <c r="G17" s="15" t="s">
        <v>71</v>
      </c>
    </row>
    <row r="18" customFormat="false" ht="15" hidden="false" customHeight="true" outlineLevel="0" collapsed="false">
      <c r="A18" s="10" t="s">
        <v>72</v>
      </c>
      <c r="B18" s="11" t="n">
        <f aca="false">B7-B15</f>
        <v>1026.45</v>
      </c>
      <c r="C18" s="11" t="n">
        <f aca="false">C7-C15</f>
        <v>813.15</v>
      </c>
      <c r="D18" s="11" t="n">
        <f aca="false">D7-D15</f>
        <v>786.6</v>
      </c>
      <c r="E18" s="11" t="n">
        <f aca="false">E7-E15</f>
        <v>819</v>
      </c>
      <c r="F18" s="11" t="n">
        <f aca="false">F7-F15</f>
        <v>836</v>
      </c>
      <c r="G18" s="15" t="s">
        <v>73</v>
      </c>
    </row>
    <row r="20" customFormat="false" ht="15" hidden="false" customHeight="true" outlineLevel="0" collapsed="false">
      <c r="A20" s="22" t="s">
        <v>74</v>
      </c>
    </row>
    <row r="21" customFormat="false" ht="15" hidden="false" customHeight="true" outlineLevel="0" collapsed="false">
      <c r="A21" s="29" t="s">
        <v>75</v>
      </c>
      <c r="B21" s="24" t="n">
        <v>0.35</v>
      </c>
      <c r="C21" s="24" t="n">
        <v>0.33</v>
      </c>
      <c r="D21" s="24" t="n">
        <v>0.3</v>
      </c>
      <c r="E21" s="25" t="n">
        <v>0.38</v>
      </c>
      <c r="F21" s="25" t="n">
        <v>0.4</v>
      </c>
      <c r="G21" s="15" t="s">
        <v>76</v>
      </c>
    </row>
    <row r="22" customFormat="false" ht="15" hidden="false" customHeight="true" outlineLevel="0" collapsed="false">
      <c r="A22" s="10" t="s">
        <v>77</v>
      </c>
      <c r="B22" s="11" t="n">
        <f aca="false">B15*B21</f>
        <v>439.0925</v>
      </c>
      <c r="C22" s="11" t="n">
        <f aca="false">C15*C21</f>
        <v>327.9705</v>
      </c>
      <c r="D22" s="11" t="n">
        <f aca="false">D15*D21</f>
        <v>288.42</v>
      </c>
      <c r="E22" s="11" t="n">
        <f aca="false">E15*E21</f>
        <v>429.78</v>
      </c>
      <c r="F22" s="11" t="n">
        <f aca="false">F15*F21</f>
        <v>545.6</v>
      </c>
      <c r="G22" s="9"/>
    </row>
    <row r="23" customFormat="false" ht="15" hidden="false" customHeight="true" outlineLevel="0" collapsed="false">
      <c r="A23" s="10" t="s">
        <v>78</v>
      </c>
      <c r="B23" s="24" t="n">
        <v>0.05</v>
      </c>
      <c r="C23" s="24" t="n">
        <v>0.05</v>
      </c>
      <c r="D23" s="24" t="n">
        <v>0.05</v>
      </c>
      <c r="E23" s="25" t="n">
        <v>0.05</v>
      </c>
      <c r="F23" s="25" t="n">
        <v>0.04</v>
      </c>
      <c r="G23" s="15" t="s">
        <v>79</v>
      </c>
    </row>
    <row r="24" customFormat="false" ht="15" hidden="false" customHeight="true" outlineLevel="0" collapsed="false">
      <c r="A24" s="10" t="s">
        <v>80</v>
      </c>
      <c r="B24" s="11" t="n">
        <f aca="false">B15*B23</f>
        <v>62.7275</v>
      </c>
      <c r="C24" s="11" t="n">
        <f aca="false">C15*C23</f>
        <v>49.6925</v>
      </c>
      <c r="D24" s="11" t="n">
        <f aca="false">D15*D23</f>
        <v>48.07</v>
      </c>
      <c r="E24" s="11" t="n">
        <f aca="false">E15*E23</f>
        <v>56.55</v>
      </c>
      <c r="F24" s="11" t="n">
        <f aca="false">F15*F23</f>
        <v>54.56</v>
      </c>
      <c r="G24" s="9"/>
    </row>
    <row r="25" customFormat="false" ht="15" hidden="false" customHeight="true" outlineLevel="0" collapsed="false">
      <c r="A25" s="10" t="s">
        <v>81</v>
      </c>
      <c r="B25" s="7" t="n">
        <v>60</v>
      </c>
      <c r="C25" s="7" t="n">
        <v>65</v>
      </c>
      <c r="D25" s="7" t="n">
        <v>70</v>
      </c>
      <c r="E25" s="8" t="n">
        <v>75</v>
      </c>
      <c r="F25" s="8" t="n">
        <v>80</v>
      </c>
      <c r="G25" s="15" t="s">
        <v>82</v>
      </c>
    </row>
    <row r="26" customFormat="false" ht="15" hidden="false" customHeight="true" outlineLevel="0" collapsed="false">
      <c r="A26" s="30" t="s">
        <v>83</v>
      </c>
      <c r="B26" s="18" t="n">
        <f aca="false">B22-B24</f>
        <v>376.365</v>
      </c>
      <c r="C26" s="18" t="n">
        <f aca="false">C22-C24</f>
        <v>278.278</v>
      </c>
      <c r="D26" s="18" t="n">
        <f aca="false">D22-D24</f>
        <v>240.35</v>
      </c>
      <c r="E26" s="18" t="n">
        <f aca="false">E22-E24</f>
        <v>373.23</v>
      </c>
      <c r="F26" s="18" t="n">
        <f aca="false">F22-F24</f>
        <v>491.04</v>
      </c>
      <c r="G26" s="15" t="s">
        <v>84</v>
      </c>
    </row>
    <row r="27" customFormat="false" ht="15" hidden="false" customHeight="true" outlineLevel="0" collapsed="false">
      <c r="A27" s="6" t="s">
        <v>85</v>
      </c>
      <c r="B27" s="31" t="n">
        <f aca="false">IF(B15&gt;0,B26/B15,0)</f>
        <v>0.3</v>
      </c>
      <c r="C27" s="31" t="n">
        <f aca="false">IF(C15&gt;0,C26/C15,0)</f>
        <v>0.28</v>
      </c>
      <c r="D27" s="31" t="n">
        <f aca="false">IF(D15&gt;0,D26/D15,0)</f>
        <v>0.25</v>
      </c>
      <c r="E27" s="31" t="n">
        <f aca="false">IF(E15&gt;0,E26/E15,0)</f>
        <v>0.33</v>
      </c>
      <c r="F27" s="31" t="n">
        <f aca="false">IF(F15&gt;0,F26/F15,0)</f>
        <v>0.36</v>
      </c>
      <c r="G27" s="9"/>
    </row>
    <row r="29" customFormat="false" ht="15" hidden="false" customHeight="true" outlineLevel="0" collapsed="false">
      <c r="A29" s="5" t="s">
        <v>86</v>
      </c>
    </row>
    <row r="30" customFormat="false" ht="15" hidden="false" customHeight="true" outlineLevel="0" collapsed="false">
      <c r="A30" s="6" t="s">
        <v>87</v>
      </c>
      <c r="B30" s="7" t="n">
        <v>1893</v>
      </c>
      <c r="C30" s="7" t="n">
        <v>773</v>
      </c>
      <c r="D30" s="7" t="n">
        <v>37</v>
      </c>
      <c r="E30" s="8" t="n">
        <v>1250</v>
      </c>
      <c r="F30" s="8" t="n">
        <v>1800</v>
      </c>
      <c r="G30" s="15" t="s">
        <v>88</v>
      </c>
    </row>
    <row r="31" customFormat="false" ht="15" hidden="false" customHeight="true" outlineLevel="0" collapsed="false">
      <c r="A31" s="6" t="s">
        <v>89</v>
      </c>
      <c r="B31" s="18" t="n">
        <f aca="false">B30-B26</f>
        <v>1516.635</v>
      </c>
      <c r="C31" s="18" t="n">
        <f aca="false">C30-C26</f>
        <v>494.722</v>
      </c>
      <c r="D31" s="18" t="n">
        <f aca="false">D30-D26</f>
        <v>-203.35</v>
      </c>
      <c r="E31" s="18" t="n">
        <f aca="false">E30-E26</f>
        <v>876.77</v>
      </c>
      <c r="F31" s="18" t="n">
        <f aca="false">F30-F26</f>
        <v>1308.96</v>
      </c>
      <c r="G31" s="15" t="s">
        <v>90</v>
      </c>
    </row>
    <row r="32" customFormat="false" ht="15" hidden="false" customHeight="true" outlineLevel="0" collapsed="false">
      <c r="A32" s="10" t="s">
        <v>91</v>
      </c>
      <c r="B32" s="32" t="n">
        <f aca="false">'Revenue Decomposition'!B7-B15</f>
        <v>20125.45</v>
      </c>
      <c r="C32" s="32" t="n">
        <f aca="false">'Revenue Decomposition'!C7-C15</f>
        <v>17454.15</v>
      </c>
      <c r="D32" s="32" t="n">
        <f aca="false">'Revenue Decomposition'!D7-D15</f>
        <v>16991.6</v>
      </c>
      <c r="E32" s="32" t="n">
        <f aca="false">'Revenue Decomposition'!E7-E15</f>
        <v>18369</v>
      </c>
      <c r="F32" s="32" t="n">
        <f aca="false">'Revenue Decomposition'!F7-F15</f>
        <v>18836</v>
      </c>
      <c r="G32" s="15" t="s">
        <v>92</v>
      </c>
    </row>
    <row r="33" customFormat="false" ht="15" hidden="false" customHeight="true" outlineLevel="0" collapsed="false">
      <c r="A33" s="10" t="s">
        <v>93</v>
      </c>
      <c r="B33" s="31" t="n">
        <f aca="false">IF(B32&gt;0,B31/B32,0)</f>
        <v>0.075359060294304</v>
      </c>
      <c r="C33" s="31" t="n">
        <f aca="false">IF(C32&gt;0,C31/C32,0)</f>
        <v>0.0283440900874577</v>
      </c>
      <c r="D33" s="31" t="n">
        <f aca="false">IF(D32&gt;0,D31/D32,0)</f>
        <v>-0.011967678146849</v>
      </c>
      <c r="E33" s="31" t="n">
        <f aca="false">IF(E32&gt;0,E31/E32,0)</f>
        <v>0.0477309597691763</v>
      </c>
      <c r="F33" s="31" t="n">
        <f aca="false">IF(F32&gt;0,F31/F32,0)</f>
        <v>0.0694924612444256</v>
      </c>
      <c r="G33" s="9"/>
    </row>
    <row r="35" customFormat="false" ht="15" hidden="false" customHeight="true" outlineLevel="0" collapsed="false">
      <c r="A35" s="33" t="s">
        <v>94</v>
      </c>
    </row>
    <row r="36" customFormat="false" ht="15" hidden="false" customHeight="true" outlineLevel="0" collapsed="false">
      <c r="A36" s="10" t="s">
        <v>95</v>
      </c>
      <c r="B36" s="34"/>
      <c r="C36" s="34"/>
      <c r="D36" s="7" t="n">
        <v>540</v>
      </c>
      <c r="E36" s="34"/>
      <c r="F36" s="34"/>
      <c r="G36" s="15" t="s">
        <v>96</v>
      </c>
    </row>
    <row r="37" customFormat="false" ht="15" hidden="false" customHeight="true" outlineLevel="0" collapsed="false">
      <c r="A37" s="16" t="s">
        <v>97</v>
      </c>
      <c r="B37" s="34"/>
      <c r="C37" s="34"/>
      <c r="D37" s="7" t="n">
        <v>1748</v>
      </c>
      <c r="E37" s="34"/>
      <c r="F37" s="34"/>
      <c r="G37" s="15" t="s">
        <v>98</v>
      </c>
    </row>
    <row r="38" customFormat="false" ht="15" hidden="false" customHeight="true" outlineLevel="0" collapsed="false">
      <c r="A38" s="6" t="s">
        <v>99</v>
      </c>
      <c r="B38" s="34"/>
      <c r="C38" s="34"/>
      <c r="D38" s="35" t="n">
        <f aca="false">D37/D36-1</f>
        <v>2.23703703703704</v>
      </c>
      <c r="E38" s="34"/>
      <c r="F38" s="34"/>
      <c r="G38" s="15" t="s">
        <v>100</v>
      </c>
    </row>
    <row r="39" customFormat="false" ht="15" hidden="false" customHeight="true" outlineLevel="0" collapsed="false">
      <c r="A39" s="15" t="s">
        <v>101</v>
      </c>
      <c r="B39" s="9"/>
      <c r="C39" s="9"/>
      <c r="D39" s="36" t="n">
        <f aca="false">D7/'Revenue Decomposition'!D7</f>
        <v>0.0973653428396368</v>
      </c>
      <c r="E39" s="9"/>
      <c r="F39" s="9"/>
      <c r="G39" s="1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44"/>
    <col collapsed="false" customWidth="true" hidden="false" outlineLevel="0" max="6" min="6" style="1" width="36"/>
    <col collapsed="false" customWidth="true" hidden="false" outlineLevel="0" max="7" min="7" style="1" width="42"/>
  </cols>
  <sheetData>
    <row r="1" customFormat="false" ht="15" hidden="false" customHeight="true" outlineLevel="0" collapsed="false">
      <c r="A1" s="2" t="s">
        <v>103</v>
      </c>
    </row>
    <row r="2" customFormat="false" ht="15" hidden="false" customHeight="true" outlineLevel="0" collapsed="false">
      <c r="A2" s="3" t="s">
        <v>104</v>
      </c>
    </row>
    <row r="4" customFormat="false" ht="23.25" hidden="false" customHeight="true" outlineLevel="0" collapsed="false">
      <c r="A4" s="4" t="s">
        <v>105</v>
      </c>
      <c r="B4" s="4" t="s">
        <v>106</v>
      </c>
      <c r="C4" s="4" t="s">
        <v>107</v>
      </c>
      <c r="D4" s="4" t="s">
        <v>108</v>
      </c>
      <c r="E4" s="4" t="s">
        <v>109</v>
      </c>
      <c r="F4" s="4" t="s">
        <v>110</v>
      </c>
      <c r="G4" s="4" t="s">
        <v>111</v>
      </c>
    </row>
    <row r="5" customFormat="false" ht="21.75" hidden="false" customHeight="true" outlineLevel="0" collapsed="false">
      <c r="A5" s="6" t="s">
        <v>112</v>
      </c>
      <c r="B5" s="37" t="n">
        <f aca="false">'GOES Segment Isolation'!E26</f>
        <v>373.23</v>
      </c>
      <c r="C5" s="38" t="n">
        <v>12</v>
      </c>
      <c r="D5" s="18" t="n">
        <f aca="false">B5*C5</f>
        <v>4478.76</v>
      </c>
      <c r="E5" s="15" t="s">
        <v>113</v>
      </c>
      <c r="F5" s="15" t="s">
        <v>114</v>
      </c>
      <c r="G5" s="15" t="s">
        <v>115</v>
      </c>
    </row>
    <row r="6" customFormat="false" ht="21.75" hidden="false" customHeight="true" outlineLevel="0" collapsed="false">
      <c r="A6" s="6" t="s">
        <v>116</v>
      </c>
      <c r="B6" s="37" t="n">
        <f aca="false">'GOES Segment Isolation'!E31</f>
        <v>876.77</v>
      </c>
      <c r="C6" s="38" t="n">
        <v>5</v>
      </c>
      <c r="D6" s="18" t="n">
        <f aca="false">B6*C6</f>
        <v>4383.85</v>
      </c>
      <c r="E6" s="15" t="s">
        <v>117</v>
      </c>
      <c r="F6" s="15" t="s">
        <v>118</v>
      </c>
      <c r="G6" s="15" t="s">
        <v>119</v>
      </c>
    </row>
    <row r="7" customFormat="false" ht="21.75" hidden="false" customHeight="true" outlineLevel="0" collapsed="false">
      <c r="A7" s="6" t="s">
        <v>120</v>
      </c>
      <c r="B7" s="8" t="n">
        <v>0</v>
      </c>
      <c r="C7" s="38" t="n">
        <v>0</v>
      </c>
      <c r="D7" s="8" t="n">
        <v>300</v>
      </c>
      <c r="E7" s="15" t="s">
        <v>121</v>
      </c>
      <c r="F7" s="9" t="s">
        <v>122</v>
      </c>
      <c r="G7" s="15" t="s">
        <v>123</v>
      </c>
    </row>
    <row r="9" customFormat="false" ht="15" hidden="false" customHeight="true" outlineLevel="0" collapsed="false">
      <c r="A9" s="39" t="s">
        <v>124</v>
      </c>
      <c r="B9" s="18" t="n">
        <f aca="false">SUM(B5:B7)</f>
        <v>1250</v>
      </c>
      <c r="C9" s="40"/>
      <c r="D9" s="18" t="n">
        <f aca="false">SUM(D5:D7)</f>
        <v>9162.61</v>
      </c>
      <c r="E9" s="40"/>
      <c r="F9" s="40"/>
      <c r="G9" s="40"/>
    </row>
    <row r="11" customFormat="false" ht="15" hidden="false" customHeight="true" outlineLevel="0" collapsed="false">
      <c r="A11" s="5" t="s">
        <v>125</v>
      </c>
    </row>
    <row r="12" customFormat="false" ht="15" hidden="false" customHeight="true" outlineLevel="0" collapsed="false">
      <c r="A12" s="10" t="s">
        <v>126</v>
      </c>
      <c r="B12" s="32" t="n">
        <f aca="false">D9</f>
        <v>9162.61</v>
      </c>
    </row>
    <row r="13" customFormat="false" ht="15" hidden="false" customHeight="true" outlineLevel="0" collapsed="false">
      <c r="A13" s="10" t="s">
        <v>127</v>
      </c>
      <c r="B13" s="7" t="n">
        <v>-7253</v>
      </c>
      <c r="C13" s="34"/>
      <c r="D13" s="34"/>
      <c r="E13" s="34"/>
      <c r="F13" s="34"/>
      <c r="G13" s="15" t="s">
        <v>128</v>
      </c>
    </row>
    <row r="14" customFormat="false" ht="15" hidden="false" customHeight="true" outlineLevel="0" collapsed="false">
      <c r="A14" s="10" t="s">
        <v>129</v>
      </c>
      <c r="B14" s="7" t="n">
        <v>-200</v>
      </c>
      <c r="C14" s="34"/>
      <c r="D14" s="34"/>
      <c r="E14" s="34"/>
      <c r="F14" s="34"/>
      <c r="G14" s="15" t="s">
        <v>130</v>
      </c>
    </row>
    <row r="15" customFormat="false" ht="21.75" hidden="false" customHeight="true" outlineLevel="0" collapsed="false">
      <c r="A15" s="29" t="s">
        <v>131</v>
      </c>
      <c r="B15" s="7" t="n">
        <v>700</v>
      </c>
      <c r="C15" s="34"/>
      <c r="D15" s="34"/>
      <c r="E15" s="34"/>
      <c r="F15" s="34"/>
      <c r="G15" s="15" t="s">
        <v>132</v>
      </c>
    </row>
    <row r="16" customFormat="false" ht="15" hidden="false" customHeight="true" outlineLevel="0" collapsed="false">
      <c r="A16" s="30" t="s">
        <v>133</v>
      </c>
      <c r="B16" s="18" t="n">
        <f aca="false">B12+B13+B14+B15</f>
        <v>2409.61</v>
      </c>
    </row>
    <row r="17" customFormat="false" ht="15" hidden="false" customHeight="true" outlineLevel="0" collapsed="false">
      <c r="A17" s="10" t="s">
        <v>134</v>
      </c>
      <c r="B17" s="12" t="n">
        <v>570</v>
      </c>
      <c r="C17" s="34"/>
      <c r="D17" s="34"/>
      <c r="E17" s="34"/>
      <c r="F17" s="34"/>
      <c r="G17" s="9" t="s">
        <v>135</v>
      </c>
    </row>
    <row r="18" customFormat="false" ht="15" hidden="false" customHeight="true" outlineLevel="0" collapsed="false">
      <c r="A18" s="6" t="s">
        <v>136</v>
      </c>
      <c r="B18" s="41" t="n">
        <f aca="false">IF(B17&gt;0,B16/B17,0)</f>
        <v>4.22738596491228</v>
      </c>
    </row>
    <row r="19" customFormat="false" ht="15" hidden="false" customHeight="true" outlineLevel="0" collapsed="false">
      <c r="A19" s="10" t="s">
        <v>137</v>
      </c>
      <c r="B19" s="42" t="n">
        <v>10.66</v>
      </c>
    </row>
    <row r="20" customFormat="false" ht="15" hidden="false" customHeight="true" outlineLevel="0" collapsed="false">
      <c r="A20" s="6" t="s">
        <v>138</v>
      </c>
      <c r="B20" s="35" t="n">
        <f aca="false">IF(B19&gt;0,B18/B19-1,0)</f>
        <v>-0.603434712484777</v>
      </c>
    </row>
    <row r="23" customFormat="false" ht="15" hidden="false" customHeight="true" outlineLevel="0" collapsed="false">
      <c r="A23" s="5" t="s">
        <v>139</v>
      </c>
    </row>
    <row r="24" customFormat="false" ht="15" hidden="false" customHeight="true" outlineLevel="0" collapsed="false">
      <c r="A24" s="4" t="s">
        <v>136</v>
      </c>
      <c r="B24" s="4" t="s">
        <v>140</v>
      </c>
      <c r="C24" s="4" t="s">
        <v>141</v>
      </c>
      <c r="D24" s="4" t="s">
        <v>142</v>
      </c>
      <c r="E24" s="4" t="s">
        <v>143</v>
      </c>
      <c r="F24" s="4" t="s">
        <v>144</v>
      </c>
    </row>
    <row r="25" customFormat="false" ht="15" hidden="false" customHeight="true" outlineLevel="0" collapsed="false">
      <c r="A25" s="43" t="s">
        <v>145</v>
      </c>
      <c r="B25" s="44" t="n">
        <f aca="false">('GOES Segment Isolation'!E26*8+'GOES Segment Isolation'!E31*4+D7+B13+B14+B15)/B17</f>
        <v>0.0700350877192984</v>
      </c>
      <c r="C25" s="44" t="n">
        <f aca="false">('GOES Segment Isolation'!E26*8+'GOES Segment Isolation'!E31*4.5+D7+B13+B14+B15)/B17</f>
        <v>0.839131578947369</v>
      </c>
      <c r="D25" s="44" t="n">
        <f aca="false">('GOES Segment Isolation'!E26*8+'GOES Segment Isolation'!E31*5+D7+B13+B14+B15)/B17</f>
        <v>1.60822807017544</v>
      </c>
      <c r="E25" s="44" t="n">
        <f aca="false">('GOES Segment Isolation'!E26*8+'GOES Segment Isolation'!E31*5.5+D7+B13+B14+B15)/B17</f>
        <v>2.37732456140351</v>
      </c>
      <c r="F25" s="44" t="n">
        <f aca="false">('GOES Segment Isolation'!E26*8+'GOES Segment Isolation'!E31*6+D7+B13+B14+B15)/B17</f>
        <v>3.14642105263158</v>
      </c>
    </row>
    <row r="26" customFormat="false" ht="15" hidden="false" customHeight="true" outlineLevel="0" collapsed="false">
      <c r="A26" s="43" t="s">
        <v>146</v>
      </c>
      <c r="B26" s="44" t="n">
        <f aca="false">('GOES Segment Isolation'!E26*10+'GOES Segment Isolation'!E31*4+D7+B13+B14+B15)/B17</f>
        <v>1.37961403508772</v>
      </c>
      <c r="C26" s="44" t="n">
        <f aca="false">('GOES Segment Isolation'!E26*10+'GOES Segment Isolation'!E31*4.5+D7+B13+B14+B15)/B17</f>
        <v>2.14871052631579</v>
      </c>
      <c r="D26" s="44" t="n">
        <f aca="false">('GOES Segment Isolation'!E26*10+'GOES Segment Isolation'!E31*5+D7+B13+B14+B15)/B17</f>
        <v>2.91780701754386</v>
      </c>
      <c r="E26" s="44" t="n">
        <f aca="false">('GOES Segment Isolation'!E26*10+'GOES Segment Isolation'!E31*5.5+D7+B13+B14+B15)/B17</f>
        <v>3.68690350877193</v>
      </c>
      <c r="F26" s="44" t="n">
        <f aca="false">('GOES Segment Isolation'!E26*10+'GOES Segment Isolation'!E31*6+D7+B13+B14+B15)/B17</f>
        <v>4.456</v>
      </c>
    </row>
    <row r="27" customFormat="false" ht="15" hidden="false" customHeight="true" outlineLevel="0" collapsed="false">
      <c r="A27" s="43" t="s">
        <v>147</v>
      </c>
      <c r="B27" s="44" t="n">
        <f aca="false">('GOES Segment Isolation'!E26*12+'GOES Segment Isolation'!E31*4+D7+B13+B14+B15)/B17</f>
        <v>2.68919298245614</v>
      </c>
      <c r="C27" s="44" t="n">
        <f aca="false">('GOES Segment Isolation'!E26*12+'GOES Segment Isolation'!E31*4.5+D7+B13+B14+B15)/B17</f>
        <v>3.45828947368421</v>
      </c>
      <c r="D27" s="45" t="n">
        <f aca="false">('GOES Segment Isolation'!E26*12+'GOES Segment Isolation'!E31*5+D7+B13+B14+B15)/B17</f>
        <v>4.22738596491228</v>
      </c>
      <c r="E27" s="44" t="n">
        <f aca="false">('GOES Segment Isolation'!E26*12+'GOES Segment Isolation'!E31*5.5+D7+B13+B14+B15)/B17</f>
        <v>4.99648245614035</v>
      </c>
      <c r="F27" s="44" t="n">
        <f aca="false">('GOES Segment Isolation'!E26*12+'GOES Segment Isolation'!E31*6+D7+B13+B14+B15)/B17</f>
        <v>5.76557894736842</v>
      </c>
    </row>
    <row r="28" customFormat="false" ht="15" hidden="false" customHeight="true" outlineLevel="0" collapsed="false">
      <c r="A28" s="43" t="s">
        <v>148</v>
      </c>
      <c r="B28" s="44" t="n">
        <f aca="false">('GOES Segment Isolation'!E26*14+'GOES Segment Isolation'!E31*4+D7+B13+B14+B15)/B17</f>
        <v>3.99877192982456</v>
      </c>
      <c r="C28" s="44" t="n">
        <f aca="false">('GOES Segment Isolation'!E26*14+'GOES Segment Isolation'!E31*4.5+D7+B13+B14+B15)/B17</f>
        <v>4.76786842105263</v>
      </c>
      <c r="D28" s="44" t="n">
        <f aca="false">('GOES Segment Isolation'!E26*14+'GOES Segment Isolation'!E31*5+D7+B13+B14+B15)/B17</f>
        <v>5.5369649122807</v>
      </c>
      <c r="E28" s="44" t="n">
        <f aca="false">('GOES Segment Isolation'!E26*14+'GOES Segment Isolation'!E31*5.5+D7+B13+B14+B15)/B17</f>
        <v>6.30606140350877</v>
      </c>
      <c r="F28" s="44" t="n">
        <f aca="false">('GOES Segment Isolation'!E26*14+'GOES Segment Isolation'!E31*6+D7+B13+B14+B15)/B17</f>
        <v>7.07515789473684</v>
      </c>
    </row>
    <row r="29" customFormat="false" ht="15" hidden="false" customHeight="true" outlineLevel="0" collapsed="false">
      <c r="A29" s="43" t="s">
        <v>149</v>
      </c>
      <c r="B29" s="44" t="n">
        <f aca="false">('GOES Segment Isolation'!E26*16+'GOES Segment Isolation'!E31*4+D7+B13+B14+B15)/B17</f>
        <v>5.30835087719298</v>
      </c>
      <c r="C29" s="44" t="n">
        <f aca="false">('GOES Segment Isolation'!E26*16+'GOES Segment Isolation'!E31*4.5+D7+B13+B14+B15)/B17</f>
        <v>6.07744736842105</v>
      </c>
      <c r="D29" s="44" t="n">
        <f aca="false">('GOES Segment Isolation'!E26*16+'GOES Segment Isolation'!E31*5+D7+B13+B14+B15)/B17</f>
        <v>6.84654385964912</v>
      </c>
      <c r="E29" s="44" t="n">
        <f aca="false">('GOES Segment Isolation'!E26*16+'GOES Segment Isolation'!E31*5.5+D7+B13+B14+B15)/B17</f>
        <v>7.6156403508772</v>
      </c>
      <c r="F29" s="44" t="n">
        <f aca="false">('GOES Segment Isolation'!E26*16+'GOES Segment Isolation'!E31*6+D7+B13+B14+B15)/B17</f>
        <v>8.38473684210526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28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42"/>
    <col collapsed="false" customWidth="true" hidden="false" outlineLevel="0" max="12" min="12" style="1" width="36"/>
  </cols>
  <sheetData>
    <row r="1" customFormat="false" ht="15" hidden="false" customHeight="true" outlineLevel="0" collapsed="false">
      <c r="A1" s="2" t="s">
        <v>150</v>
      </c>
    </row>
    <row r="2" customFormat="false" ht="15" hidden="false" customHeight="true" outlineLevel="0" collapsed="false">
      <c r="A2" s="3" t="s">
        <v>151</v>
      </c>
    </row>
    <row r="4" customFormat="false" ht="15" hidden="false" customHeight="true" outlineLevel="0" collapsed="false">
      <c r="A4" s="4" t="s">
        <v>152</v>
      </c>
      <c r="B4" s="4" t="s">
        <v>153</v>
      </c>
      <c r="C4" s="4" t="s">
        <v>154</v>
      </c>
      <c r="D4" s="4" t="s">
        <v>155</v>
      </c>
      <c r="E4" s="4" t="s">
        <v>156</v>
      </c>
      <c r="F4" s="4" t="s">
        <v>157</v>
      </c>
      <c r="G4" s="4" t="s">
        <v>158</v>
      </c>
      <c r="H4" s="4" t="s">
        <v>159</v>
      </c>
      <c r="I4" s="4" t="s">
        <v>160</v>
      </c>
      <c r="J4" s="4" t="s">
        <v>161</v>
      </c>
      <c r="K4" s="4" t="s">
        <v>162</v>
      </c>
      <c r="L4" s="4" t="s">
        <v>163</v>
      </c>
    </row>
    <row r="5" customFormat="false" ht="15" hidden="false" customHeight="true" outlineLevel="0" collapsed="false">
      <c r="A5" s="10"/>
      <c r="B5" s="34"/>
      <c r="C5" s="39" t="s">
        <v>164</v>
      </c>
      <c r="D5" s="34"/>
      <c r="E5" s="34"/>
      <c r="F5" s="34"/>
      <c r="G5" s="34"/>
      <c r="H5" s="34"/>
      <c r="I5" s="34"/>
      <c r="J5" s="34"/>
      <c r="K5" s="10"/>
      <c r="L5" s="10"/>
    </row>
    <row r="6" customFormat="false" ht="34.5" hidden="false" customHeight="true" outlineLevel="0" collapsed="false">
      <c r="A6" s="16" t="s">
        <v>165</v>
      </c>
      <c r="B6" s="46" t="s">
        <v>166</v>
      </c>
      <c r="C6" s="29" t="s">
        <v>167</v>
      </c>
      <c r="D6" s="46" t="n">
        <v>6.1</v>
      </c>
      <c r="E6" s="46" t="n">
        <v>18.6</v>
      </c>
      <c r="F6" s="46" t="n">
        <v>0.037</v>
      </c>
      <c r="G6" s="46" t="s">
        <v>168</v>
      </c>
      <c r="H6" s="46" t="s">
        <v>169</v>
      </c>
      <c r="I6" s="46" t="n">
        <v>-0.031</v>
      </c>
      <c r="J6" s="46" t="n">
        <v>0.002</v>
      </c>
      <c r="K6" s="29" t="s">
        <v>170</v>
      </c>
      <c r="L6" s="29" t="s">
        <v>171</v>
      </c>
    </row>
    <row r="7" customFormat="false" ht="23.25" hidden="false" customHeight="true" outlineLevel="0" collapsed="false">
      <c r="A7" s="10"/>
      <c r="B7" s="34"/>
      <c r="C7" s="39" t="s">
        <v>172</v>
      </c>
      <c r="D7" s="34"/>
      <c r="E7" s="34"/>
      <c r="F7" s="34"/>
      <c r="G7" s="34"/>
      <c r="H7" s="34"/>
      <c r="I7" s="34"/>
      <c r="J7" s="34"/>
      <c r="K7" s="10"/>
      <c r="L7" s="10"/>
    </row>
    <row r="8" customFormat="false" ht="23.25" hidden="false" customHeight="true" outlineLevel="0" collapsed="false">
      <c r="A8" s="10" t="s">
        <v>173</v>
      </c>
      <c r="B8" s="34" t="s">
        <v>174</v>
      </c>
      <c r="C8" s="10" t="s">
        <v>175</v>
      </c>
      <c r="D8" s="34" t="n">
        <v>155</v>
      </c>
      <c r="E8" s="34" t="n">
        <v>25.2</v>
      </c>
      <c r="F8" s="34" t="n">
        <v>6.3</v>
      </c>
      <c r="G8" s="34" t="s">
        <v>176</v>
      </c>
      <c r="H8" s="34" t="s">
        <v>177</v>
      </c>
      <c r="I8" s="34" t="n">
        <v>0.13</v>
      </c>
      <c r="J8" s="34" t="n">
        <v>0.25</v>
      </c>
      <c r="K8" s="10" t="s">
        <v>178</v>
      </c>
      <c r="L8" s="10" t="s">
        <v>179</v>
      </c>
    </row>
    <row r="9" customFormat="false" ht="23.25" hidden="false" customHeight="true" outlineLevel="0" collapsed="false">
      <c r="A9" s="10" t="s">
        <v>180</v>
      </c>
      <c r="B9" s="34" t="s">
        <v>181</v>
      </c>
      <c r="C9" s="10" t="s">
        <v>182</v>
      </c>
      <c r="D9" s="34" t="n">
        <v>80</v>
      </c>
      <c r="E9" s="34" t="n">
        <v>38</v>
      </c>
      <c r="F9" s="34" t="n">
        <v>4.5</v>
      </c>
      <c r="G9" s="34" t="s">
        <v>183</v>
      </c>
      <c r="H9" s="34" t="s">
        <v>184</v>
      </c>
      <c r="I9" s="34" t="n">
        <v>0.18</v>
      </c>
      <c r="J9" s="34" t="n">
        <v>0.118</v>
      </c>
      <c r="K9" s="10" t="s">
        <v>185</v>
      </c>
      <c r="L9" s="10" t="s">
        <v>186</v>
      </c>
    </row>
    <row r="10" customFormat="false" ht="23.25" hidden="false" customHeight="true" outlineLevel="0" collapsed="false">
      <c r="A10" s="10" t="s">
        <v>187</v>
      </c>
      <c r="B10" s="34" t="s">
        <v>188</v>
      </c>
      <c r="C10" s="10" t="s">
        <v>189</v>
      </c>
      <c r="D10" s="34" t="n">
        <v>95</v>
      </c>
      <c r="E10" s="34" t="n">
        <v>32</v>
      </c>
      <c r="F10" s="34" t="n">
        <v>5</v>
      </c>
      <c r="G10" s="34" t="s">
        <v>190</v>
      </c>
      <c r="H10" s="34" t="s">
        <v>191</v>
      </c>
      <c r="I10" s="34" t="n">
        <v>0.12</v>
      </c>
      <c r="J10" s="34" t="n">
        <v>0.156</v>
      </c>
      <c r="K10" s="10" t="s">
        <v>192</v>
      </c>
      <c r="L10" s="10" t="s">
        <v>186</v>
      </c>
    </row>
    <row r="11" customFormat="false" ht="23.25" hidden="false" customHeight="true" outlineLevel="0" collapsed="false">
      <c r="A11" s="10" t="s">
        <v>193</v>
      </c>
      <c r="B11" s="34" t="s">
        <v>194</v>
      </c>
      <c r="C11" s="10" t="s">
        <v>195</v>
      </c>
      <c r="D11" s="34" t="n">
        <v>95</v>
      </c>
      <c r="E11" s="34" t="n">
        <v>33</v>
      </c>
      <c r="F11" s="34" t="n">
        <v>6</v>
      </c>
      <c r="G11" s="34" t="s">
        <v>196</v>
      </c>
      <c r="H11" s="34" t="s">
        <v>197</v>
      </c>
      <c r="I11" s="34" t="n">
        <v>0.08</v>
      </c>
      <c r="J11" s="34" t="n">
        <v>0.182</v>
      </c>
      <c r="K11" s="10" t="s">
        <v>198</v>
      </c>
      <c r="L11" s="10" t="s">
        <v>199</v>
      </c>
    </row>
    <row r="12" customFormat="false" ht="23.25" hidden="false" customHeight="true" outlineLevel="0" collapsed="false">
      <c r="A12" s="10"/>
      <c r="B12" s="34"/>
      <c r="C12" s="39" t="s">
        <v>200</v>
      </c>
      <c r="D12" s="34"/>
      <c r="E12" s="34"/>
      <c r="F12" s="34"/>
      <c r="G12" s="34"/>
      <c r="H12" s="34"/>
      <c r="I12" s="34"/>
      <c r="J12" s="34"/>
      <c r="K12" s="10"/>
      <c r="L12" s="10"/>
    </row>
    <row r="13" customFormat="false" ht="23.25" hidden="false" customHeight="true" outlineLevel="0" collapsed="false">
      <c r="A13" s="10" t="s">
        <v>201</v>
      </c>
      <c r="B13" s="34" t="s">
        <v>202</v>
      </c>
      <c r="C13" s="10" t="s">
        <v>203</v>
      </c>
      <c r="D13" s="34" t="n">
        <v>75</v>
      </c>
      <c r="E13" s="34" t="n">
        <v>25.5</v>
      </c>
      <c r="F13" s="34" t="n">
        <v>10.5</v>
      </c>
      <c r="G13" s="34" t="s">
        <v>204</v>
      </c>
      <c r="H13" s="34" t="s">
        <v>205</v>
      </c>
      <c r="I13" s="34" t="n">
        <v>0.15</v>
      </c>
      <c r="J13" s="34" t="n">
        <v>0.412</v>
      </c>
      <c r="K13" s="10" t="s">
        <v>206</v>
      </c>
      <c r="L13" s="1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207</v>
      </c>
    </row>
    <row r="2" customFormat="false" ht="15" hidden="false" customHeight="true" outlineLevel="0" collapsed="false">
      <c r="A2" s="3" t="s">
        <v>208</v>
      </c>
    </row>
    <row r="4" customFormat="false" ht="15" hidden="false" customHeight="true" outlineLevel="0" collapsed="false">
      <c r="A4" s="5" t="s">
        <v>209</v>
      </c>
    </row>
    <row r="5" customFormat="false" ht="15" hidden="false" customHeight="true" outlineLevel="0" collapsed="false">
      <c r="A5" s="43" t="s">
        <v>210</v>
      </c>
      <c r="B5" s="47" t="s">
        <v>211</v>
      </c>
    </row>
    <row r="6" customFormat="false" ht="15" hidden="false" customHeight="true" outlineLevel="0" collapsed="false">
      <c r="A6" s="43" t="s">
        <v>212</v>
      </c>
      <c r="B6" s="47" t="s">
        <v>213</v>
      </c>
    </row>
    <row r="7" customFormat="false" ht="15" hidden="false" customHeight="true" outlineLevel="0" collapsed="false">
      <c r="A7" s="43" t="s">
        <v>214</v>
      </c>
      <c r="B7" s="47" t="s">
        <v>215</v>
      </c>
    </row>
    <row r="8" customFormat="false" ht="15" hidden="false" customHeight="true" outlineLevel="0" collapsed="false">
      <c r="A8" s="43" t="s">
        <v>216</v>
      </c>
      <c r="B8" s="47" t="s">
        <v>217</v>
      </c>
    </row>
    <row r="9" customFormat="false" ht="15" hidden="false" customHeight="true" outlineLevel="0" collapsed="false">
      <c r="A9" s="43" t="s">
        <v>218</v>
      </c>
      <c r="B9" s="47" t="s">
        <v>219</v>
      </c>
    </row>
    <row r="10" customFormat="false" ht="15" hidden="false" customHeight="true" outlineLevel="0" collapsed="false">
      <c r="A10" s="43" t="s">
        <v>220</v>
      </c>
      <c r="B10" s="47" t="s">
        <v>221</v>
      </c>
    </row>
    <row r="11" customFormat="false" ht="15" hidden="false" customHeight="true" outlineLevel="0" collapsed="false">
      <c r="A11" s="43" t="s">
        <v>222</v>
      </c>
      <c r="B11" s="47" t="s">
        <v>223</v>
      </c>
    </row>
    <row r="12" customFormat="false" ht="15" hidden="false" customHeight="true" outlineLevel="0" collapsed="false">
      <c r="A12" s="43" t="s">
        <v>224</v>
      </c>
      <c r="B12" s="47" t="s">
        <v>225</v>
      </c>
    </row>
    <row r="14" customFormat="false" ht="15" hidden="false" customHeight="true" outlineLevel="0" collapsed="false">
      <c r="A14" s="33" t="s">
        <v>226</v>
      </c>
    </row>
    <row r="15" customFormat="false" ht="15" hidden="false" customHeight="true" outlineLevel="0" collapsed="false">
      <c r="A15" s="43" t="s">
        <v>227</v>
      </c>
      <c r="B15" s="47" t="s">
        <v>228</v>
      </c>
    </row>
    <row r="16" customFormat="false" ht="15" hidden="false" customHeight="true" outlineLevel="0" collapsed="false">
      <c r="A16" s="43" t="s">
        <v>229</v>
      </c>
      <c r="B16" s="47" t="s">
        <v>230</v>
      </c>
    </row>
    <row r="17" customFormat="false" ht="15" hidden="false" customHeight="true" outlineLevel="0" collapsed="false">
      <c r="A17" s="43" t="s">
        <v>231</v>
      </c>
      <c r="B17" s="47" t="s">
        <v>232</v>
      </c>
    </row>
    <row r="18" customFormat="false" ht="15" hidden="false" customHeight="true" outlineLevel="0" collapsed="false">
      <c r="A18" s="43" t="s">
        <v>233</v>
      </c>
      <c r="B18" s="47" t="s">
        <v>234</v>
      </c>
    </row>
    <row r="19" customFormat="false" ht="15" hidden="false" customHeight="true" outlineLevel="0" collapsed="false">
      <c r="A19" s="43" t="s">
        <v>235</v>
      </c>
      <c r="B19" s="47" t="s">
        <v>236</v>
      </c>
    </row>
    <row r="21" customFormat="false" ht="15" hidden="false" customHeight="true" outlineLevel="0" collapsed="false">
      <c r="A21" s="5" t="s">
        <v>237</v>
      </c>
    </row>
    <row r="22" customFormat="false" ht="15" hidden="false" customHeight="true" outlineLevel="0" collapsed="false">
      <c r="A22" s="43" t="s">
        <v>238</v>
      </c>
      <c r="B22" s="47" t="s">
        <v>239</v>
      </c>
    </row>
    <row r="23" customFormat="false" ht="15" hidden="false" customHeight="true" outlineLevel="0" collapsed="false">
      <c r="A23" s="43" t="s">
        <v>240</v>
      </c>
      <c r="B23" s="47" t="s">
        <v>241</v>
      </c>
    </row>
    <row r="24" customFormat="false" ht="15" hidden="false" customHeight="true" outlineLevel="0" collapsed="false">
      <c r="A24" s="43" t="s">
        <v>242</v>
      </c>
      <c r="B24" s="47" t="s">
        <v>243</v>
      </c>
    </row>
    <row r="26" customFormat="false" ht="15" hidden="false" customHeight="true" outlineLevel="0" collapsed="false">
      <c r="A26" s="5" t="s">
        <v>244</v>
      </c>
    </row>
    <row r="27" customFormat="false" ht="15" hidden="false" customHeight="true" outlineLevel="0" collapsed="false">
      <c r="A27" s="47" t="s">
        <v>245</v>
      </c>
      <c r="B27" s="43" t="s">
        <v>246</v>
      </c>
    </row>
    <row r="28" customFormat="false" ht="15" hidden="false" customHeight="true" outlineLevel="0" collapsed="false">
      <c r="A28" s="47" t="s">
        <v>247</v>
      </c>
      <c r="B28" s="43" t="s">
        <v>248</v>
      </c>
    </row>
    <row r="29" customFormat="false" ht="15" hidden="false" customHeight="true" outlineLevel="0" collapsed="false">
      <c r="A29" s="47" t="s">
        <v>249</v>
      </c>
      <c r="B29" s="43" t="s">
        <v>250</v>
      </c>
    </row>
    <row r="30" customFormat="false" ht="15" hidden="false" customHeight="true" outlineLevel="0" collapsed="false">
      <c r="A30" s="47" t="s">
        <v>251</v>
      </c>
      <c r="B30" s="47" t="s">
        <v>252</v>
      </c>
    </row>
    <row r="31" customFormat="false" ht="15" hidden="false" customHeight="true" outlineLevel="0" collapsed="false">
      <c r="A31" s="48" t="s">
        <v>253</v>
      </c>
      <c r="B31" s="43" t="s">
        <v>254</v>
      </c>
    </row>
    <row r="33" customFormat="false" ht="15" hidden="false" customHeight="true" outlineLevel="0" collapsed="false">
      <c r="A33" s="5" t="s">
        <v>255</v>
      </c>
    </row>
    <row r="34" customFormat="false" ht="15" hidden="false" customHeight="true" outlineLevel="0" collapsed="false">
      <c r="A34" s="43" t="s">
        <v>256</v>
      </c>
      <c r="B34" s="47" t="s">
        <v>257</v>
      </c>
    </row>
    <row r="35" customFormat="false" ht="15" hidden="false" customHeight="true" outlineLevel="0" collapsed="false">
      <c r="A35" s="43" t="s">
        <v>258</v>
      </c>
      <c r="B35" s="47" t="s">
        <v>259</v>
      </c>
    </row>
    <row r="36" customFormat="false" ht="15" hidden="false" customHeight="true" outlineLevel="0" collapsed="false">
      <c r="A36" s="43" t="s">
        <v>260</v>
      </c>
      <c r="B36" s="47" t="s">
        <v>261</v>
      </c>
    </row>
    <row r="37" customFormat="false" ht="15" hidden="false" customHeight="true" outlineLevel="0" collapsed="false">
      <c r="A37" s="43" t="s">
        <v>262</v>
      </c>
      <c r="B37" s="47" t="s">
        <v>263</v>
      </c>
    </row>
    <row r="38" customFormat="false" ht="15" hidden="false" customHeight="true" outlineLevel="0" collapsed="false">
      <c r="A38" s="43" t="s">
        <v>264</v>
      </c>
      <c r="B38" s="47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8"/>
    <col collapsed="false" customWidth="true" hidden="false" outlineLevel="0" max="4" min="4" style="1" width="44"/>
  </cols>
  <sheetData>
    <row r="1" customFormat="false" ht="15" hidden="false" customHeight="true" outlineLevel="0" collapsed="false">
      <c r="A1" s="2" t="s">
        <v>266</v>
      </c>
    </row>
    <row r="2" customFormat="false" ht="15" hidden="false" customHeight="true" outlineLevel="0" collapsed="false">
      <c r="A2" s="3" t="s">
        <v>267</v>
      </c>
    </row>
    <row r="4" customFormat="false" ht="15" hidden="false" customHeight="true" outlineLevel="0" collapsed="false">
      <c r="A4" s="4" t="s">
        <v>268</v>
      </c>
      <c r="B4" s="4" t="s">
        <v>269</v>
      </c>
      <c r="C4" s="4" t="s">
        <v>270</v>
      </c>
      <c r="D4" s="4" t="s">
        <v>271</v>
      </c>
    </row>
    <row r="5" customFormat="false" ht="15" hidden="false" customHeight="true" outlineLevel="0" collapsed="false">
      <c r="A5" s="39" t="s">
        <v>272</v>
      </c>
      <c r="B5" s="10"/>
      <c r="C5" s="10"/>
      <c r="D5" s="10"/>
    </row>
    <row r="6" customFormat="false" ht="15" hidden="false" customHeight="true" outlineLevel="0" collapsed="false">
      <c r="A6" s="10" t="s">
        <v>273</v>
      </c>
      <c r="B6" s="10" t="s">
        <v>274</v>
      </c>
      <c r="C6" s="10" t="s">
        <v>275</v>
      </c>
      <c r="D6" s="10" t="s">
        <v>276</v>
      </c>
    </row>
    <row r="7" customFormat="false" ht="15" hidden="false" customHeight="true" outlineLevel="0" collapsed="false">
      <c r="A7" s="10" t="s">
        <v>277</v>
      </c>
      <c r="B7" s="10" t="s">
        <v>278</v>
      </c>
      <c r="C7" s="10" t="s">
        <v>279</v>
      </c>
      <c r="D7" s="10" t="s">
        <v>280</v>
      </c>
    </row>
    <row r="8" customFormat="false" ht="15" hidden="false" customHeight="true" outlineLevel="0" collapsed="false">
      <c r="A8" s="10" t="s">
        <v>281</v>
      </c>
      <c r="B8" s="10" t="s">
        <v>282</v>
      </c>
      <c r="C8" s="10" t="s">
        <v>275</v>
      </c>
      <c r="D8" s="10" t="s">
        <v>283</v>
      </c>
    </row>
    <row r="9" customFormat="false" ht="15" hidden="false" customHeight="true" outlineLevel="0" collapsed="false">
      <c r="A9" s="10" t="s">
        <v>284</v>
      </c>
      <c r="B9" s="10" t="s">
        <v>285</v>
      </c>
      <c r="C9" s="10" t="s">
        <v>286</v>
      </c>
      <c r="D9" s="10" t="s">
        <v>287</v>
      </c>
    </row>
    <row r="10" customFormat="false" ht="15" hidden="false" customHeight="true" outlineLevel="0" collapsed="false">
      <c r="A10" s="10" t="s">
        <v>288</v>
      </c>
      <c r="B10" s="10" t="s">
        <v>289</v>
      </c>
      <c r="C10" s="10" t="s">
        <v>290</v>
      </c>
      <c r="D10" s="10" t="s">
        <v>291</v>
      </c>
    </row>
    <row r="11" customFormat="false" ht="15" hidden="false" customHeight="true" outlineLevel="0" collapsed="false">
      <c r="A11" s="10" t="s">
        <v>292</v>
      </c>
      <c r="B11" s="10" t="s">
        <v>293</v>
      </c>
      <c r="C11" s="10" t="s">
        <v>294</v>
      </c>
      <c r="D11" s="10" t="s">
        <v>295</v>
      </c>
    </row>
    <row r="12" customFormat="false" ht="15" hidden="false" customHeight="true" outlineLevel="0" collapsed="false">
      <c r="A12" s="10" t="s">
        <v>296</v>
      </c>
      <c r="B12" s="10" t="s">
        <v>297</v>
      </c>
      <c r="C12" s="10" t="s">
        <v>275</v>
      </c>
      <c r="D12" s="10" t="s">
        <v>298</v>
      </c>
    </row>
    <row r="13" customFormat="false" ht="15" hidden="false" customHeight="true" outlineLevel="0" collapsed="false">
      <c r="A13" s="10" t="s">
        <v>299</v>
      </c>
      <c r="B13" s="10" t="s">
        <v>300</v>
      </c>
      <c r="C13" s="10" t="s">
        <v>286</v>
      </c>
      <c r="D13" s="10" t="s">
        <v>301</v>
      </c>
    </row>
    <row r="14" customFormat="false" ht="15" hidden="false" customHeight="true" outlineLevel="0" collapsed="false">
      <c r="A14" s="10"/>
      <c r="B14" s="10"/>
      <c r="C14" s="10"/>
      <c r="D14" s="10"/>
    </row>
    <row r="15" customFormat="false" ht="15" hidden="false" customHeight="true" outlineLevel="0" collapsed="false">
      <c r="A15" s="39" t="s">
        <v>302</v>
      </c>
      <c r="B15" s="10"/>
      <c r="C15" s="10"/>
      <c r="D15" s="10"/>
    </row>
    <row r="16" customFormat="false" ht="15" hidden="false" customHeight="true" outlineLevel="0" collapsed="false">
      <c r="A16" s="10" t="s">
        <v>303</v>
      </c>
      <c r="B16" s="10" t="s">
        <v>304</v>
      </c>
      <c r="C16" s="10" t="s">
        <v>305</v>
      </c>
      <c r="D16" s="10"/>
    </row>
    <row r="17" customFormat="false" ht="15" hidden="false" customHeight="true" outlineLevel="0" collapsed="false">
      <c r="A17" s="10" t="s">
        <v>306</v>
      </c>
      <c r="B17" s="10" t="s">
        <v>307</v>
      </c>
      <c r="C17" s="10" t="s">
        <v>305</v>
      </c>
      <c r="D17" s="10"/>
    </row>
    <row r="18" customFormat="false" ht="15" hidden="false" customHeight="true" outlineLevel="0" collapsed="false">
      <c r="A18" s="10" t="s">
        <v>308</v>
      </c>
      <c r="B18" s="10" t="s">
        <v>309</v>
      </c>
      <c r="C18" s="10" t="s">
        <v>305</v>
      </c>
      <c r="D18" s="10"/>
    </row>
    <row r="19" customFormat="false" ht="15" hidden="false" customHeight="true" outlineLevel="0" collapsed="false">
      <c r="A19" s="16" t="s">
        <v>310</v>
      </c>
      <c r="B19" s="29" t="s">
        <v>311</v>
      </c>
      <c r="C19" s="29" t="s">
        <v>305</v>
      </c>
      <c r="D19" s="29" t="s">
        <v>312</v>
      </c>
    </row>
    <row r="20" customFormat="false" ht="15" hidden="false" customHeight="true" outlineLevel="0" collapsed="false">
      <c r="A20" s="10" t="s">
        <v>313</v>
      </c>
      <c r="B20" s="10" t="s">
        <v>314</v>
      </c>
      <c r="C20" s="10" t="s">
        <v>305</v>
      </c>
      <c r="D20" s="10"/>
    </row>
    <row r="21" customFormat="false" ht="15" hidden="false" customHeight="true" outlineLevel="0" collapsed="false">
      <c r="A21" s="10" t="s">
        <v>315</v>
      </c>
      <c r="B21" s="10" t="s">
        <v>316</v>
      </c>
      <c r="C21" s="10" t="s">
        <v>305</v>
      </c>
      <c r="D21" s="10" t="s">
        <v>317</v>
      </c>
    </row>
    <row r="22" customFormat="false" ht="15" hidden="false" customHeight="true" outlineLevel="0" collapsed="false">
      <c r="A22" s="10" t="s">
        <v>318</v>
      </c>
      <c r="B22" s="10" t="s">
        <v>319</v>
      </c>
      <c r="C22" s="10" t="s">
        <v>305</v>
      </c>
      <c r="D22" s="10"/>
    </row>
    <row r="23" customFormat="false" ht="15" hidden="false" customHeight="true" outlineLevel="0" collapsed="false">
      <c r="A23" s="10"/>
      <c r="B23" s="10"/>
      <c r="C23" s="10"/>
      <c r="D23" s="10"/>
    </row>
    <row r="24" customFormat="false" ht="15" hidden="false" customHeight="true" outlineLevel="0" collapsed="false">
      <c r="A24" s="39" t="s">
        <v>320</v>
      </c>
      <c r="B24" s="10"/>
      <c r="C24" s="10"/>
      <c r="D24" s="10"/>
    </row>
    <row r="25" customFormat="false" ht="15" hidden="false" customHeight="true" outlineLevel="0" collapsed="false">
      <c r="A25" s="10" t="s">
        <v>321</v>
      </c>
      <c r="B25" s="10" t="s">
        <v>322</v>
      </c>
      <c r="C25" s="10" t="s">
        <v>323</v>
      </c>
      <c r="D25" s="10" t="s">
        <v>324</v>
      </c>
    </row>
    <row r="26" customFormat="false" ht="15" hidden="false" customHeight="true" outlineLevel="0" collapsed="false">
      <c r="A26" s="10" t="s">
        <v>325</v>
      </c>
      <c r="B26" s="10" t="s">
        <v>326</v>
      </c>
      <c r="C26" s="10" t="s">
        <v>323</v>
      </c>
      <c r="D26" s="10" t="s">
        <v>327</v>
      </c>
    </row>
    <row r="27" customFormat="false" ht="15" hidden="false" customHeight="true" outlineLevel="0" collapsed="false">
      <c r="A27" s="10" t="s">
        <v>328</v>
      </c>
      <c r="B27" s="10" t="s">
        <v>329</v>
      </c>
      <c r="C27" s="10" t="s">
        <v>323</v>
      </c>
      <c r="D27" s="10" t="s">
        <v>330</v>
      </c>
    </row>
    <row r="28" customFormat="false" ht="15" hidden="false" customHeight="true" outlineLevel="0" collapsed="false">
      <c r="A28" s="10" t="s">
        <v>331</v>
      </c>
      <c r="B28" s="10" t="s">
        <v>332</v>
      </c>
      <c r="C28" s="10" t="s">
        <v>323</v>
      </c>
      <c r="D28" s="10" t="s">
        <v>333</v>
      </c>
    </row>
    <row r="29" customFormat="false" ht="15" hidden="false" customHeight="true" outlineLevel="0" collapsed="false">
      <c r="A29" s="10" t="s">
        <v>334</v>
      </c>
      <c r="B29" s="10" t="s">
        <v>335</v>
      </c>
      <c r="C29" s="10" t="s">
        <v>323</v>
      </c>
      <c r="D29" s="10" t="s">
        <v>336</v>
      </c>
    </row>
    <row r="30" customFormat="false" ht="15" hidden="false" customHeight="true" outlineLevel="0" collapsed="false">
      <c r="A30" s="10" t="s">
        <v>337</v>
      </c>
      <c r="B30" s="10" t="s">
        <v>338</v>
      </c>
      <c r="C30" s="10" t="s">
        <v>323</v>
      </c>
      <c r="D30" s="10" t="s">
        <v>339</v>
      </c>
    </row>
    <row r="31" customFormat="false" ht="15" hidden="false" customHeight="true" outlineLevel="0" collapsed="false">
      <c r="A31" s="10" t="s">
        <v>340</v>
      </c>
      <c r="B31" s="10" t="s">
        <v>341</v>
      </c>
      <c r="C31" s="10" t="s">
        <v>323</v>
      </c>
      <c r="D31" s="10" t="s">
        <v>342</v>
      </c>
    </row>
    <row r="32" customFormat="false" ht="15" hidden="false" customHeight="true" outlineLevel="0" collapsed="false">
      <c r="A32" s="10"/>
      <c r="B32" s="10"/>
      <c r="C32" s="10"/>
      <c r="D32" s="10"/>
    </row>
    <row r="33" customFormat="false" ht="15" hidden="false" customHeight="true" outlineLevel="0" collapsed="false">
      <c r="A33" s="39" t="s">
        <v>343</v>
      </c>
      <c r="B33" s="10"/>
      <c r="C33" s="10"/>
      <c r="D33" s="10"/>
    </row>
    <row r="34" customFormat="false" ht="15" hidden="false" customHeight="true" outlineLevel="0" collapsed="false">
      <c r="A34" s="10" t="s">
        <v>344</v>
      </c>
      <c r="B34" s="10" t="s">
        <v>345</v>
      </c>
      <c r="C34" s="10" t="s">
        <v>346</v>
      </c>
      <c r="D34" s="10" t="s">
        <v>347</v>
      </c>
    </row>
    <row r="35" customFormat="false" ht="15" hidden="false" customHeight="true" outlineLevel="0" collapsed="false">
      <c r="A35" s="10" t="s">
        <v>348</v>
      </c>
      <c r="B35" s="10" t="s">
        <v>349</v>
      </c>
      <c r="C35" s="10" t="s">
        <v>350</v>
      </c>
      <c r="D35" s="10" t="s">
        <v>351</v>
      </c>
    </row>
    <row r="36" customFormat="false" ht="23.25" hidden="false" customHeight="true" outlineLevel="0" collapsed="false">
      <c r="A36" s="10" t="s">
        <v>352</v>
      </c>
      <c r="B36" s="10" t="s">
        <v>353</v>
      </c>
      <c r="C36" s="10" t="s">
        <v>346</v>
      </c>
      <c r="D36" s="10" t="s">
        <v>354</v>
      </c>
    </row>
    <row r="37" customFormat="false" ht="15" hidden="false" customHeight="true" outlineLevel="0" collapsed="false">
      <c r="A37" s="10" t="s">
        <v>355</v>
      </c>
      <c r="B37" s="10" t="s">
        <v>356</v>
      </c>
      <c r="C37" s="10" t="s">
        <v>346</v>
      </c>
      <c r="D37" s="10" t="s">
        <v>357</v>
      </c>
    </row>
    <row r="38" customFormat="false" ht="15" hidden="false" customHeight="true" outlineLevel="0" collapsed="false">
      <c r="A38" s="10"/>
      <c r="B38" s="10"/>
      <c r="C38" s="10"/>
      <c r="D38" s="10"/>
    </row>
    <row r="39" customFormat="false" ht="15" hidden="false" customHeight="true" outlineLevel="0" collapsed="false">
      <c r="A39" s="39" t="s">
        <v>358</v>
      </c>
      <c r="B39" s="10"/>
      <c r="C39" s="10"/>
      <c r="D39" s="10"/>
    </row>
    <row r="40" customFormat="false" ht="15" hidden="false" customHeight="true" outlineLevel="0" collapsed="false">
      <c r="A40" s="10" t="s">
        <v>359</v>
      </c>
      <c r="B40" s="10" t="s">
        <v>360</v>
      </c>
      <c r="C40" s="10" t="s">
        <v>361</v>
      </c>
      <c r="D40" s="10" t="s">
        <v>362</v>
      </c>
    </row>
    <row r="41" customFormat="false" ht="15" hidden="false" customHeight="true" outlineLevel="0" collapsed="false">
      <c r="A41" s="10" t="s">
        <v>363</v>
      </c>
      <c r="B41" s="10" t="s">
        <v>364</v>
      </c>
      <c r="C41" s="10" t="s">
        <v>361</v>
      </c>
      <c r="D41" s="10" t="s">
        <v>365</v>
      </c>
    </row>
    <row r="42" customFormat="false" ht="15" hidden="false" customHeight="true" outlineLevel="0" collapsed="false">
      <c r="A42" s="10" t="s">
        <v>366</v>
      </c>
      <c r="B42" s="10" t="s">
        <v>367</v>
      </c>
      <c r="C42" s="10" t="s">
        <v>361</v>
      </c>
      <c r="D42" s="10" t="s">
        <v>368</v>
      </c>
    </row>
    <row r="43" customFormat="false" ht="23.25" hidden="false" customHeight="true" outlineLevel="0" collapsed="false">
      <c r="A43" s="10" t="s">
        <v>369</v>
      </c>
      <c r="B43" s="10" t="s">
        <v>370</v>
      </c>
      <c r="C43" s="10" t="s">
        <v>371</v>
      </c>
      <c r="D43" s="10" t="s">
        <v>372</v>
      </c>
    </row>
    <row r="44" customFormat="false" ht="15" hidden="false" customHeight="true" outlineLevel="0" collapsed="false">
      <c r="A44" s="10"/>
      <c r="B44" s="10"/>
      <c r="C44" s="10"/>
      <c r="D44" s="10"/>
    </row>
    <row r="45" customFormat="false" ht="15" hidden="false" customHeight="true" outlineLevel="0" collapsed="false">
      <c r="A45" s="39" t="s">
        <v>373</v>
      </c>
      <c r="B45" s="10"/>
      <c r="C45" s="10"/>
      <c r="D45" s="10"/>
    </row>
    <row r="46" customFormat="false" ht="15" hidden="false" customHeight="true" outlineLevel="0" collapsed="false">
      <c r="A46" s="10" t="s">
        <v>374</v>
      </c>
      <c r="B46" s="10" t="s">
        <v>375</v>
      </c>
      <c r="C46" s="10" t="s">
        <v>376</v>
      </c>
      <c r="D46" s="10" t="s">
        <v>377</v>
      </c>
    </row>
    <row r="47" customFormat="false" ht="15" hidden="false" customHeight="true" outlineLevel="0" collapsed="false">
      <c r="A47" s="10" t="s">
        <v>378</v>
      </c>
      <c r="B47" s="10" t="s">
        <v>379</v>
      </c>
      <c r="C47" s="10" t="s">
        <v>376</v>
      </c>
      <c r="D47" s="10" t="s">
        <v>380</v>
      </c>
    </row>
    <row r="48" customFormat="false" ht="15" hidden="false" customHeight="true" outlineLevel="0" collapsed="false">
      <c r="A48" s="10" t="s">
        <v>381</v>
      </c>
      <c r="B48" s="10" t="s">
        <v>382</v>
      </c>
      <c r="C48" s="10" t="s">
        <v>376</v>
      </c>
      <c r="D48" s="10" t="s">
        <v>383</v>
      </c>
    </row>
    <row r="49" customFormat="false" ht="15" hidden="false" customHeight="true" outlineLevel="0" collapsed="false">
      <c r="A49" s="10" t="s">
        <v>384</v>
      </c>
      <c r="B49" s="10" t="s">
        <v>385</v>
      </c>
      <c r="C49" s="10" t="s">
        <v>376</v>
      </c>
      <c r="D49" s="10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2026-03-01T20:35:44Z</dcterms:created>
  <dc:creator>openpyxl</dc:creator>
  <dc:description/>
  <dc:language>en-US</dc:language>
  <cp:lastModifiedBy/>
  <dcterms:modified xsi:type="dcterms:W3CDTF">2026-03-01T20:36:36Z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