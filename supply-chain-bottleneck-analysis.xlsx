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y Chain Map" sheetId="1" state="visible" r:id="rId3"/>
    <sheet name="Bottleneck Scoring" sheetId="2" state="visible" r:id="rId4"/>
    <sheet name="Investability Matrix" sheetId="3" state="visible" r:id="rId5"/>
    <sheet name="Cross-Vertical Convergence" sheetId="4" state="visible" r:id="rId6"/>
    <sheet name="Alpha Ideas (6-18M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<sst xmlns="http://schemas.openxmlformats.org/spreadsheetml/2006/main" count="801" uniqueCount="540">
  <si>
    <t xml:space="preserve">Vertical</t>
  </si>
  <si>
    <t xml:space="preserve">End Product (Tier 1)</t>
  </si>
  <si>
    <t xml:space="preserve">Subsystem / Component (Tier 2)</t>
  </si>
  <si>
    <t xml:space="preserve">Sub-Component / Material (Tier 3)</t>
  </si>
  <si>
    <t xml:space="preserve">Raw Input / Process (Tier 4)</t>
  </si>
  <si>
    <t xml:space="preserve">Bottleneck Severity (1-5)</t>
  </si>
  <si>
    <t xml:space="preserve">Single-Source Risk</t>
  </si>
  <si>
    <t xml:space="preserve">China Dependency %</t>
  </si>
  <si>
    <t xml:space="preserve">DEFENSE</t>
  </si>
  <si>
    <t xml:space="preserve">Guided Missiles (GMLRS, ATACMS, SM-6, Javelin)</t>
  </si>
  <si>
    <t xml:space="preserve">Solid Rocket Motor (SRM)</t>
  </si>
  <si>
    <t xml:space="preserve">Ammonium Perchlorate (AP) propellant</t>
  </si>
  <si>
    <t xml:space="preserve">Perchloric acid synthesis; single US source (AMPAC)</t>
  </si>
  <si>
    <t xml:space="preserve">SOLE SOURCE</t>
  </si>
  <si>
    <t xml:space="preserve">0%</t>
  </si>
  <si>
    <t xml:space="preserve">Guided Missiles</t>
  </si>
  <si>
    <t xml:space="preserve">Motor casing (maraging steel / composite)</t>
  </si>
  <si>
    <t xml:space="preserve">Steel forging; carbon fiber winding</t>
  </si>
  <si>
    <t xml:space="preserve">DUAL SOURCE</t>
  </si>
  <si>
    <t xml:space="preserve">15%</t>
  </si>
  <si>
    <t xml:space="preserve">Nozzle (carbon-carbon composite / tungsten)</t>
  </si>
  <si>
    <t xml:space="preserve">Chemical vapor deposition; tungsten powder</t>
  </si>
  <si>
    <t xml:space="preserve">80%</t>
  </si>
  <si>
    <t xml:space="preserve">Guidance &amp; Navigation (GPS/INS)</t>
  </si>
  <si>
    <t xml:space="preserve">MEMS accelerometers &amp; gyroscopes</t>
  </si>
  <si>
    <t xml:space="preserve">Silicon MEMS fabrication (Honeywell, Analog Devices)</t>
  </si>
  <si>
    <t xml:space="preserve">LIMITED</t>
  </si>
  <si>
    <t xml:space="preserve">10%</t>
  </si>
  <si>
    <t xml:space="preserve">Guidance &amp; Navigation</t>
  </si>
  <si>
    <t xml:space="preserve">Ring Laser Gyro / Fiber Optic Gyro</t>
  </si>
  <si>
    <t xml:space="preserve">Specialty optical fiber; precision glass</t>
  </si>
  <si>
    <t xml:space="preserve">20%</t>
  </si>
  <si>
    <t xml:space="preserve">Seeker Head (IR/RF)</t>
  </si>
  <si>
    <t xml:space="preserve">InSb / HgCdTe focal plane arrays</t>
  </si>
  <si>
    <t xml:space="preserve">II-VI semiconductor growth (MBE); cryocoolers</t>
  </si>
  <si>
    <t xml:space="preserve">5%</t>
  </si>
  <si>
    <t xml:space="preserve">Warhead</t>
  </si>
  <si>
    <t xml:space="preserve">Energetics (RDX, HMX, PBXN)</t>
  </si>
  <si>
    <t xml:space="preserve">Nitration chemistry; single Canadian propellant plant</t>
  </si>
  <si>
    <t xml:space="preserve">Fins &amp; Actuators</t>
  </si>
  <si>
    <t xml:space="preserve">Titanium alloy forgings</t>
  </si>
  <si>
    <t xml:space="preserve">Ti sponge (0% US production); forging &amp; machining</t>
  </si>
  <si>
    <t xml:space="preserve">IMPORT DEPENDENT</t>
  </si>
  <si>
    <t xml:space="preserve">75%</t>
  </si>
  <si>
    <t xml:space="preserve">Fighter Aircraft (F-35, F/A-18)</t>
  </si>
  <si>
    <t xml:space="preserve">Jet Engine (F135, F414)</t>
  </si>
  <si>
    <t xml:space="preserve">Nickel superalloy turbine blades (single crystal)</t>
  </si>
  <si>
    <t xml:space="preserve">Vacuum investment casting; rhenium, hafnium inputs</t>
  </si>
  <si>
    <t xml:space="preserve">30%</t>
  </si>
  <si>
    <t xml:space="preserve">Fighter Aircraft</t>
  </si>
  <si>
    <t xml:space="preserve">Jet Engine</t>
  </si>
  <si>
    <t xml:space="preserve">Thermal barrier coatings (TBC)</t>
  </si>
  <si>
    <t xml:space="preserve">Electron-beam PVD; yttria-stabilized zirconia</t>
  </si>
  <si>
    <t xml:space="preserve">25%</t>
  </si>
  <si>
    <t xml:space="preserve">Airframe</t>
  </si>
  <si>
    <t xml:space="preserve">Carbon fiber reinforced polymer (CFRP)</t>
  </si>
  <si>
    <t xml:space="preserve">PAN precursor fiber; autoclave cure</t>
  </si>
  <si>
    <t xml:space="preserve">40%</t>
  </si>
  <si>
    <t xml:space="preserve">Avionics &amp; Radar (AESA)</t>
  </si>
  <si>
    <t xml:space="preserve">GaN-on-SiC MMIC power amplifiers</t>
  </si>
  <si>
    <t xml:space="preserve">SiC substrate growth; GaN epitaxy (Wolfspeed, Qorvo)</t>
  </si>
  <si>
    <t xml:space="preserve">Avionics &amp; Radar</t>
  </si>
  <si>
    <t xml:space="preserve">Rare earth permanent magnets (SmCo)</t>
  </si>
  <si>
    <t xml:space="preserve">Samarium-cobalt processing; China 90%+ RE processing</t>
  </si>
  <si>
    <t xml:space="preserve">CRITICAL</t>
  </si>
  <si>
    <t xml:space="preserve">90%</t>
  </si>
  <si>
    <t xml:space="preserve">Naval Vessels (DDG, SSN, CVN)</t>
  </si>
  <si>
    <t xml:space="preserve">Nuclear Propulsion Reactor</t>
  </si>
  <si>
    <t xml:space="preserve">HEU fuel elements</t>
  </si>
  <si>
    <t xml:space="preserve">Y-12 National Security Complex; BWXT fabrication</t>
  </si>
  <si>
    <t xml:space="preserve">Naval Vessels</t>
  </si>
  <si>
    <t xml:space="preserve">Hull &amp; Structure</t>
  </si>
  <si>
    <t xml:space="preserve">HY-80/HY-100 steel plate</t>
  </si>
  <si>
    <t xml:space="preserve">Electric arc furnace; Arcelor/SSAB rolling</t>
  </si>
  <si>
    <t xml:space="preserve">Combat System</t>
  </si>
  <si>
    <t xml:space="preserve">Large-format power transformers</t>
  </si>
  <si>
    <t xml:space="preserve">GOES electrical steel; copper windings</t>
  </si>
  <si>
    <t xml:space="preserve">50%</t>
  </si>
  <si>
    <t xml:space="preserve">Artillery Munitions (155mm)</t>
  </si>
  <si>
    <t xml:space="preserve">Propellant Charge</t>
  </si>
  <si>
    <t xml:space="preserve">Modular charge system propellant</t>
  </si>
  <si>
    <t xml:space="preserve">General Dynamics Valleyfield (sole plant, Canada)</t>
  </si>
  <si>
    <t xml:space="preserve">Artillery Munitions</t>
  </si>
  <si>
    <t xml:space="preserve">Projectile Body</t>
  </si>
  <si>
    <t xml:space="preserve">Steel forging (HF-1 steel)</t>
  </si>
  <si>
    <t xml:space="preserve">Forging presses; heat treatment</t>
  </si>
  <si>
    <t xml:space="preserve">Fuze</t>
  </si>
  <si>
    <t xml:space="preserve">MEMS safe-and-arm devices</t>
  </si>
  <si>
    <t xml:space="preserve">MEMS fabrication; specialty energetics</t>
  </si>
  <si>
    <t xml:space="preserve">ARTIFICIAL INTELLIGENCE</t>
  </si>
  <si>
    <t xml:space="preserve">AI</t>
  </si>
  <si>
    <t xml:space="preserve">AI Training Cluster (GB200 NVL72)</t>
  </si>
  <si>
    <t xml:space="preserve">GPU Die (B200)</t>
  </si>
  <si>
    <t xml:space="preserve">3nm logic wafer</t>
  </si>
  <si>
    <t xml:space="preserve">TSMC N3E process; EUV lithography (ASML)</t>
  </si>
  <si>
    <t xml:space="preserve">AI Training Cluster</t>
  </si>
  <si>
    <t xml:space="preserve">GPU Die</t>
  </si>
  <si>
    <t xml:space="preserve">EUV photomasks</t>
  </si>
  <si>
    <t xml:space="preserve">Mask blank (AGC, Hoya); e-beam writing</t>
  </si>
  <si>
    <t xml:space="preserve">DUOPOLY</t>
  </si>
  <si>
    <t xml:space="preserve">HBM Memory Stack (HBM3E/HBM4)</t>
  </si>
  <si>
    <t xml:space="preserve">DRAM dies (12-16 layers)</t>
  </si>
  <si>
    <t xml:space="preserve">SK Hynix, Samsung, Micron; advanced node DRAM fab</t>
  </si>
  <si>
    <t xml:space="preserve">OLIGOPOLY</t>
  </si>
  <si>
    <t xml:space="preserve">HBM Memory Stack</t>
  </si>
  <si>
    <t xml:space="preserve">Thermal compression bonding (TCB)</t>
  </si>
  <si>
    <t xml:space="preserve">Micro-bump Cu pillar; underfill epoxy</t>
  </si>
  <si>
    <t xml:space="preserve">CoWoS Advanced Packaging</t>
  </si>
  <si>
    <t xml:space="preserve">Silicon interposer (65nm)</t>
  </si>
  <si>
    <t xml:space="preserve">TSMC InFO/CoWoS line; oversubscribed through 2027</t>
  </si>
  <si>
    <t xml:space="preserve">Organic substrate (ABF)</t>
  </si>
  <si>
    <t xml:space="preserve">Ajinomoto Build-up Film; Ibiden, Shinko substrates</t>
  </si>
  <si>
    <t xml:space="preserve">Networking (800G/1.6T)</t>
  </si>
  <si>
    <t xml:space="preserve">Optical transceivers (800G OSFP/QSFP-DD)</t>
  </si>
  <si>
    <t xml:space="preserve">InP EML laser chips (17% shortfall in 2026)</t>
  </si>
  <si>
    <t xml:space="preserve">CONSTRAINED</t>
  </si>
  <si>
    <t xml:space="preserve">Networking</t>
  </si>
  <si>
    <t xml:space="preserve">Co-Packaged Optics (CPO) modules</t>
  </si>
  <si>
    <t xml:space="preserve">Silicon photonics; fiber array coupling</t>
  </si>
  <si>
    <t xml:space="preserve">EMERGING</t>
  </si>
  <si>
    <t xml:space="preserve">Power Delivery</t>
  </si>
  <si>
    <t xml:space="preserve">VRM / voltage regulator modules</t>
  </si>
  <si>
    <t xml:space="preserve">GaN FETs (Navitas, EPC); DrMOS (MPS, Renesas)</t>
  </si>
  <si>
    <t xml:space="preserve">Busbar &amp; power distribution unit</t>
  </si>
  <si>
    <t xml:space="preserve">Copper busbars; high-current connectors</t>
  </si>
  <si>
    <t xml:space="preserve">MODERATE</t>
  </si>
  <si>
    <t xml:space="preserve">AI Inference Server</t>
  </si>
  <si>
    <t xml:space="preserve">Accelerator (custom ASIC / GPU)</t>
  </si>
  <si>
    <t xml:space="preserve">Advanced packaging (CoWoS-L, Fan-Out)</t>
  </si>
  <si>
    <t xml:space="preserve">TSMC capacity allocation</t>
  </si>
  <si>
    <t xml:space="preserve">Thermal Management</t>
  </si>
  <si>
    <t xml:space="preserve">Liquid cooling loop (CDU + cold plate)</t>
  </si>
  <si>
    <t xml:space="preserve">Precision machined cold plates; CDU refrigerant</t>
  </si>
  <si>
    <t xml:space="preserve">GROWING</t>
  </si>
  <si>
    <t xml:space="preserve">Thermal interface material (TIM)</t>
  </si>
  <si>
    <t xml:space="preserve">Indium-based solder; phase-change compounds</t>
  </si>
  <si>
    <t xml:space="preserve">35%</t>
  </si>
  <si>
    <t xml:space="preserve">AI Data Center</t>
  </si>
  <si>
    <t xml:space="preserve">Power Infrastructure</t>
  </si>
  <si>
    <t xml:space="preserve">Backup generators (natural gas / diesel)</t>
  </si>
  <si>
    <t xml:space="preserve">Cummins, Caterpillar; fuel injection systems</t>
  </si>
  <si>
    <t xml:space="preserve">ADEQUATE</t>
  </si>
  <si>
    <t xml:space="preserve">UPS systems &amp; battery backup</t>
  </si>
  <si>
    <t xml:space="preserve">Lithium-ion cells; power electronics</t>
  </si>
  <si>
    <t xml:space="preserve">60%</t>
  </si>
  <si>
    <t xml:space="preserve">Medium-voltage switchgear</t>
  </si>
  <si>
    <t xml:space="preserve">SF6/vacuum circuit breakers; demand +274% since 2019</t>
  </si>
  <si>
    <t xml:space="preserve">Step-down transformers (HV to MV)</t>
  </si>
  <si>
    <t xml:space="preserve">GOES electrical steel; copper windings; 2-4yr lead time</t>
  </si>
  <si>
    <t xml:space="preserve">Fiber Optic Cabling</t>
  </si>
  <si>
    <t xml:space="preserve">Single-mode fiber (SMF-28)</t>
  </si>
  <si>
    <t xml:space="preserve">Corning, Furukawa; fiber draw tower capacity</t>
  </si>
  <si>
    <t xml:space="preserve">45%</t>
  </si>
  <si>
    <t xml:space="preserve">ENERGY</t>
  </si>
  <si>
    <t xml:space="preserve">Nuclear Power Plant (LWR)</t>
  </si>
  <si>
    <t xml:space="preserve">Reactor Core</t>
  </si>
  <si>
    <t xml:space="preserve">LEU fuel assemblies</t>
  </si>
  <si>
    <t xml:space="preserve">Westinghouse, Framatome fabrication; UF6 conversion</t>
  </si>
  <si>
    <t xml:space="preserve">Nuclear Power Plant</t>
  </si>
  <si>
    <t xml:space="preserve">Enriched uranium (LEU, 3-5%)</t>
  </si>
  <si>
    <t xml:space="preserve">Urenco, Orano centrifuge enrichment; Russia ~35% global</t>
  </si>
  <si>
    <t xml:space="preserve">CONCENTRATED</t>
  </si>
  <si>
    <t xml:space="preserve">Natural uranium (U3O8)</t>
  </si>
  <si>
    <t xml:space="preserve">Kazakhstan 45% global mining (Kazatomprom)</t>
  </si>
  <si>
    <t xml:space="preserve">Steam Generator</t>
  </si>
  <si>
    <t xml:space="preserve">Inconel 690 tubing</t>
  </si>
  <si>
    <t xml:space="preserve">Special Metals (Berkshire); precision tube drawing</t>
  </si>
  <si>
    <t xml:space="preserve">Reactor Pressure Vessel</t>
  </si>
  <si>
    <t xml:space="preserve">SA-508 steel forgings (&gt;200 tonne)</t>
  </si>
  <si>
    <t xml:space="preserve">Japan Steel Works, Shanghai Electric; &lt;5 global forges</t>
  </si>
  <si>
    <t xml:space="preserve">Advanced SMR / Micro-Reactor</t>
  </si>
  <si>
    <t xml:space="preserve">Fuel (HALEU, 5-20% enriched)</t>
  </si>
  <si>
    <t xml:space="preserve">HALEU production</t>
  </si>
  <si>
    <t xml:space="preserve">Centrus pilot only (~900 kg/yr US); Russia dominant</t>
  </si>
  <si>
    <t xml:space="preserve">Advanced SMR</t>
  </si>
  <si>
    <t xml:space="preserve">Fuel</t>
  </si>
  <si>
    <t xml:space="preserve">TRISO / metallic fuel fabrication</t>
  </si>
  <si>
    <t xml:space="preserve">TRISO-X, Oklo A3F, X-energy; all pilot stage</t>
  </si>
  <si>
    <t xml:space="preserve">NASCENT</t>
  </si>
  <si>
    <t xml:space="preserve">Coolant System</t>
  </si>
  <si>
    <t xml:space="preserve">Sodium metal (reactor-grade purity)</t>
  </si>
  <si>
    <t xml:space="preserve">Limited Western suppliers; qualification intensive</t>
  </si>
  <si>
    <t xml:space="preserve">Grid Transmission &amp; Distribution</t>
  </si>
  <si>
    <t xml:space="preserve">Large Power Transformer (LPT)</t>
  </si>
  <si>
    <t xml:space="preserve">GOES electrical steel (grain-oriented)</t>
  </si>
  <si>
    <t xml:space="preserve">Nippon Steel, POSCO, Baosteel; US 0% domestic GOES production</t>
  </si>
  <si>
    <t xml:space="preserve">Grid T&amp;D</t>
  </si>
  <si>
    <t xml:space="preserve">Large Power Transformer</t>
  </si>
  <si>
    <t xml:space="preserve">Copper windings (transformer-grade)</t>
  </si>
  <si>
    <t xml:space="preserve">Electrolytic copper rod; 50% tariffs on imports</t>
  </si>
  <si>
    <t xml:space="preserve">Transformer oil (mineral insulating)</t>
  </si>
  <si>
    <t xml:space="preserve">Petroleum refining; specification-grade</t>
  </si>
  <si>
    <t xml:space="preserve">High-Voltage Switchgear</t>
  </si>
  <si>
    <t xml:space="preserve">SF6 / vacuum interrupters</t>
  </si>
  <si>
    <t xml:space="preserve">ABB, Siemens, Eaton; demand +274% since 2019</t>
  </si>
  <si>
    <t xml:space="preserve">Power Cable</t>
  </si>
  <si>
    <t xml:space="preserve">XLPE insulated HV cable</t>
  </si>
  <si>
    <t xml:space="preserve">Nexans, Prysmian; cross-linked polyethylene extrusion</t>
  </si>
  <si>
    <t xml:space="preserve">Substation Equipment</t>
  </si>
  <si>
    <t xml:space="preserve">Current / voltage transformers</t>
  </si>
  <si>
    <t xml:space="preserve">Instrument transformer production; testing backlog</t>
  </si>
  <si>
    <t xml:space="preserve">Solar PV Farm</t>
  </si>
  <si>
    <t xml:space="preserve">Solar Module</t>
  </si>
  <si>
    <t xml:space="preserve">Monocrystalline silicon wafer</t>
  </si>
  <si>
    <t xml:space="preserve">LONGi, TCL Zhonghuan; China 95%+ wafer production</t>
  </si>
  <si>
    <t xml:space="preserve">95%</t>
  </si>
  <si>
    <t xml:space="preserve">Silver paste (front-side metallization)</t>
  </si>
  <si>
    <t xml:space="preserve">Heraeus, DuPont; silver demand 680M oz industrial 2024</t>
  </si>
  <si>
    <t xml:space="preserve">Inverter</t>
  </si>
  <si>
    <t xml:space="preserve">SiC MOSFET power modules</t>
  </si>
  <si>
    <t xml:space="preserve">Wolfspeed, STMicro, Infineon; SiC substrate constraint</t>
  </si>
  <si>
    <t xml:space="preserve">Offshore Wind Turbine</t>
  </si>
  <si>
    <t xml:space="preserve">Generator</t>
  </si>
  <si>
    <t xml:space="preserve">NdFeB permanent magnets (direct-drive)</t>
  </si>
  <si>
    <t xml:space="preserve">Rare earth processing; China 90%+ magnet production</t>
  </si>
  <si>
    <t xml:space="preserve">Foundation</t>
  </si>
  <si>
    <t xml:space="preserve">Monopile steel (70-100m, &gt;2000 tonnes)</t>
  </si>
  <si>
    <t xml:space="preserve">Heavy plate rolling; limited fabrication yards</t>
  </si>
  <si>
    <t xml:space="preserve">Grid Connection</t>
  </si>
  <si>
    <t xml:space="preserve">HVDC converter station</t>
  </si>
  <si>
    <t xml:space="preserve">Power semiconductor (IGBT/thyristor); Hitachi, Siemens</t>
  </si>
  <si>
    <t xml:space="preserve">Rank</t>
  </si>
  <si>
    <t xml:space="preserve">Bottleneck Node</t>
  </si>
  <si>
    <t xml:space="preserve">Vertical(s)</t>
  </si>
  <si>
    <t xml:space="preserve">Severity
(1-5)</t>
  </si>
  <si>
    <t xml:space="preserve">Single-Source
Risk (1-5)</t>
  </si>
  <si>
    <t xml:space="preserve">China
Dep. (1-5)</t>
  </si>
  <si>
    <t xml:space="preserve">Lead Time
(1-5)</t>
  </si>
  <si>
    <t xml:space="preserve">Demand
Growth (1-5)</t>
  </si>
  <si>
    <t xml:space="preserve">Substitution
Difficulty (1-5)</t>
  </si>
  <si>
    <t xml:space="preserve">TOTAL
SCORE</t>
  </si>
  <si>
    <t xml:space="preserve">Controlling Companies</t>
  </si>
  <si>
    <t xml:space="preserve">Priced In?</t>
  </si>
  <si>
    <t xml:space="preserve">HALEU Enrichment (5-20%)</t>
  </si>
  <si>
    <t xml:space="preserve">Centrus (LEU), Urenco, Orano</t>
  </si>
  <si>
    <t xml:space="preserve">PARTIALLY — Centrus priced in; conversion/enrichment scaling NOT</t>
  </si>
  <si>
    <t xml:space="preserve">Ammonium Perchlorate (SRM propellant)</t>
  </si>
  <si>
    <t xml:space="preserve">American Pacific Corp (AMPAC) — private</t>
  </si>
  <si>
    <t xml:space="preserve">NOT PRICED IN — single point of failure, no public equity exposure</t>
  </si>
  <si>
    <t xml:space="preserve">TSMC (sole source)</t>
  </si>
  <si>
    <t xml:space="preserve">PRICED IN — TSMC at $1T+ market cap</t>
  </si>
  <si>
    <t xml:space="preserve">GOES Electrical Steel</t>
  </si>
  <si>
    <t xml:space="preserve">ENERGY, AI, DEFENSE</t>
  </si>
  <si>
    <t xml:space="preserve">Nippon Steel, POSCO, Baosteel, AK Steel (Cliffs)</t>
  </si>
  <si>
    <t xml:space="preserve">NOT PRICED IN — Cleveland-Cliffs (CLF) trades at ~5x EBITDA</t>
  </si>
  <si>
    <t xml:space="preserve">Rare Earth Permanent Magnets (NdFeB/SmCo)</t>
  </si>
  <si>
    <t xml:space="preserve">DEFENSE, ENERGY</t>
  </si>
  <si>
    <t xml:space="preserve">Neo (NEO.TO), MP Materials, Shin-Etsu</t>
  </si>
  <si>
    <t xml:space="preserve">PARTIALLY — Neo repriced; upstream miners NOT fully</t>
  </si>
  <si>
    <t xml:space="preserve">HBM Memory (HBM3E/HBM4)</t>
  </si>
  <si>
    <t xml:space="preserve">SK Hynix, Samsung, Micron</t>
  </si>
  <si>
    <t xml:space="preserve">PRICED IN — SK Hynix +180% 18M; Samsung/Micron richly valued</t>
  </si>
  <si>
    <t xml:space="preserve">800G/1.6T Optical Transceivers</t>
  </si>
  <si>
    <t xml:space="preserve">Coherent (COHR), II-VI/Lumentum, InnoLight</t>
  </si>
  <si>
    <t xml:space="preserve">PARTIALLY — Coherent repriced; InP EML laser chip makers NOT</t>
  </si>
  <si>
    <t xml:space="preserve">Medium-Voltage Switchgear</t>
  </si>
  <si>
    <t xml:space="preserve">AI, ENERGY</t>
  </si>
  <si>
    <t xml:space="preserve">Eaton (ETN), ABB, Siemens, Schneider</t>
  </si>
  <si>
    <t xml:space="preserve">PARTIALLY — Eaton repriced to 35x; smaller players NOT</t>
  </si>
  <si>
    <t xml:space="preserve">Large Power Transformers (LPT)</t>
  </si>
  <si>
    <t xml:space="preserve">Hitachi Energy, Siemens, ABB, WEG, Hyundai Electric</t>
  </si>
  <si>
    <t xml:space="preserve">NOT PRICED IN — WEG (Brazil), Hyundai Electric, SPX Tech underappreciated</t>
  </si>
  <si>
    <t xml:space="preserve">Titanium Sponge / Forgings</t>
  </si>
  <si>
    <t xml:space="preserve">IperionX (IPX), VSMPO-AVISMA (Russia), China Ti</t>
  </si>
  <si>
    <t xml:space="preserve">NOT PRICED IN — IperionX ($500M cap) just won $99M DoD contract</t>
  </si>
  <si>
    <t xml:space="preserve">SiC Substrates &amp; Power Modules</t>
  </si>
  <si>
    <t xml:space="preserve">ENERGY, AI</t>
  </si>
  <si>
    <t xml:space="preserve">Wolfspeed (WOLF), STMicro, Infineon, onsemi</t>
  </si>
  <si>
    <t xml:space="preserve">PARTIALLY — Wolfspeed distressed; supply gap growing</t>
  </si>
  <si>
    <t xml:space="preserve">Energetics (RDX/HMX/Propellants)</t>
  </si>
  <si>
    <t xml:space="preserve">General Dynamics Valleyfield (sole plant), Nammo</t>
  </si>
  <si>
    <t xml:space="preserve">NOT PRICED IN — no direct public equity; GD indirectly benefits</t>
  </si>
  <si>
    <t xml:space="preserve">GaN-on-SiC (Radar/EW)</t>
  </si>
  <si>
    <t xml:space="preserve">Wolfspeed, Qorvo (QRVO), MACOM</t>
  </si>
  <si>
    <t xml:space="preserve">PARTIALLY — Qorvo beaten down; defense GaN not in consensus</t>
  </si>
  <si>
    <t xml:space="preserve">Liquid Cooling (CDU + Cold Plates)</t>
  </si>
  <si>
    <t xml:space="preserve">Vertiv (VRT), Schneider, CoolIT, Motivair</t>
  </si>
  <si>
    <t xml:space="preserve">PARTIALLY — Vertiv repriced; CoolIT/Motivair private</t>
  </si>
  <si>
    <t xml:space="preserve">Reactor Pressure Vessel Forgings</t>
  </si>
  <si>
    <t xml:space="preserve">Japan Steel Works (5631.T), Shanghai Electric</t>
  </si>
  <si>
    <t xml:space="preserve">NOT PRICED IN — Japan Steel Works trades at ~10x; critical monopoly</t>
  </si>
  <si>
    <t xml:space="preserve">InP EML Laser Chips (800G+)</t>
  </si>
  <si>
    <t xml:space="preserve">Lumentum, Coherent, Source Photonics, HiSilicon</t>
  </si>
  <si>
    <t xml:space="preserve">NOT PRICED IN — 17% supply shortfall forecast for 2026</t>
  </si>
  <si>
    <t xml:space="preserve">ABF Substrate Film</t>
  </si>
  <si>
    <t xml:space="preserve">Ajinomoto (2802.T) — sole source</t>
  </si>
  <si>
    <t xml:space="preserve">NOT PRICED IN — Ajinomoto is a $15B food company; ABF is hidden</t>
  </si>
  <si>
    <t xml:space="preserve">Uranium Conversion (UF6)</t>
  </si>
  <si>
    <t xml:space="preserve">Cameco (Port Hope), Orano (Malvési)</t>
  </si>
  <si>
    <t xml:space="preserve">PARTIALLY — Cameco repriced; conversion bottleneck underappreciated</t>
  </si>
  <si>
    <t xml:space="preserve">IR Focal Plane Arrays (FPA)</t>
  </si>
  <si>
    <t xml:space="preserve">L3Harris, Raytheon (RTX), DRS/Leonardo</t>
  </si>
  <si>
    <t xml:space="preserve">PARTIALLY — defense primes carry this; pure-play exposure limited</t>
  </si>
  <si>
    <t xml:space="preserve">Copper (Transformer/Power Grade)</t>
  </si>
  <si>
    <t xml:space="preserve">Freeport-McMoRan (FCX), Southern Copper (SCCO)</t>
  </si>
  <si>
    <t xml:space="preserve">PARTIALLY — your thesis: miner ETF speculation sidelined</t>
  </si>
  <si>
    <t xml:space="preserve">Company</t>
  </si>
  <si>
    <t xml:space="preserve">Ticker</t>
  </si>
  <si>
    <t xml:space="preserve">Market Cap</t>
  </si>
  <si>
    <t xml:space="preserve">Vertical Exposure</t>
  </si>
  <si>
    <t xml:space="preserve">Bottleneck Node(s)</t>
  </si>
  <si>
    <t xml:space="preserve">Pricing Status
(6-18M Horizon)</t>
  </si>
  <si>
    <t xml:space="preserve">Catalyst</t>
  </si>
  <si>
    <t xml:space="preserve">Risk</t>
  </si>
  <si>
    <t xml:space="preserve">Conviction
(1-5)</t>
  </si>
  <si>
    <t xml:space="preserve">NOT PRICED IN — Highest Alpha Potential (6-18M)</t>
  </si>
  <si>
    <t xml:space="preserve">Cleveland-Cliffs</t>
  </si>
  <si>
    <t xml:space="preserve">CLF</t>
  </si>
  <si>
    <t xml:space="preserve">$5.5B</t>
  </si>
  <si>
    <t xml:space="preserve">GOES electrical steel (only US producer)</t>
  </si>
  <si>
    <t xml:space="preserve">NOT PRICED IN</t>
  </si>
  <si>
    <t xml:space="preserve">DOE transformer steel standards; data center transformer demand; 50% tariffs on imported steel</t>
  </si>
  <si>
    <t xml:space="preserve">Steel cyclicality; auto sector weakness; leveraged balance sheet</t>
  </si>
  <si>
    <t xml:space="preserve">Japan Steel Works</t>
  </si>
  <si>
    <t xml:space="preserve">5631.T</t>
  </si>
  <si>
    <t xml:space="preserve">$3.5B</t>
  </si>
  <si>
    <t xml:space="preserve">Reactor pressure vessel forgings (&lt;5 global)</t>
  </si>
  <si>
    <t xml:space="preserve">Nuclear renaissance; SMR deployment requires pressure vessels; 10+ year backlog building</t>
  </si>
  <si>
    <t xml:space="preserve">Japan domestic demand; yen currency risk; long cycle time</t>
  </si>
  <si>
    <t xml:space="preserve">Ajinomoto</t>
  </si>
  <si>
    <t xml:space="preserve">2802.T</t>
  </si>
  <si>
    <t xml:space="preserve">$15B</t>
  </si>
  <si>
    <t xml:space="preserve">ABF substrate film (sole source for CoWoS)</t>
  </si>
  <si>
    <t xml:space="preserve">Every AI chip uses ABF film; CoWoS capacity doubling = ABF demand doubling; hidden in food conglomerate</t>
  </si>
  <si>
    <t xml:space="preserve">Conglomerate discount; ABF is &lt;15% of revenue; Japanese governance</t>
  </si>
  <si>
    <t xml:space="preserve">IperionX</t>
  </si>
  <si>
    <t xml:space="preserve">IPX</t>
  </si>
  <si>
    <t xml:space="preserve">$500M</t>
  </si>
  <si>
    <t xml:space="preserve">Titanium sponge &amp; forgings (US re-shoring)</t>
  </si>
  <si>
    <t xml:space="preserve">$99M DoD contract (Feb 2026); only US titanium powder producer; Navy pump systems</t>
  </si>
  <si>
    <t xml:space="preserve">Pre-revenue scaling; execution risk; small cap illiquidity</t>
  </si>
  <si>
    <t xml:space="preserve">SPX Technologies</t>
  </si>
  <si>
    <t xml:space="preserve">SPXC</t>
  </si>
  <si>
    <t xml:space="preserve">$7B</t>
  </si>
  <si>
    <t xml:space="preserve">Power transformers, grid infrastructure</t>
  </si>
  <si>
    <t xml:space="preserve">Transformer backlog growing; data center grid connection demand; less followed than Eaton/ABB</t>
  </si>
  <si>
    <t xml:space="preserve">Premium valuation for industrial; execution on backlog conversion</t>
  </si>
  <si>
    <t xml:space="preserve">Centrus Energy</t>
  </si>
  <si>
    <t xml:space="preserve">LEU</t>
  </si>
  <si>
    <t xml:space="preserve">HALEU enrichment (only NRC-licensed US producer)</t>
  </si>
  <si>
    <t xml:space="preserve">PARTIALLY</t>
  </si>
  <si>
    <t xml:space="preserve">Only US HALEU producer; $2.7B DOE enrichment investment; every advanced SMR needs HALEU</t>
  </si>
  <si>
    <t xml:space="preserve">Pilot-to-commercial scaling risk; Russian enrichment competition; contract structure</t>
  </si>
  <si>
    <t xml:space="preserve">WEG S.A.</t>
  </si>
  <si>
    <t xml:space="preserve">WEGE3.SA</t>
  </si>
  <si>
    <t xml:space="preserve">$45B</t>
  </si>
  <si>
    <t xml:space="preserve">Large power transformers; electric motors; switchgear</t>
  </si>
  <si>
    <t xml:space="preserve">Brazil-based transformer manufacturer gaining global share; data center &amp; grid buildout</t>
  </si>
  <si>
    <t xml:space="preserve">Brazil country risk; currency exposure; already premium valuation in local market</t>
  </si>
  <si>
    <t xml:space="preserve">Hyundai Electric</t>
  </si>
  <si>
    <t xml:space="preserve">267260.KS</t>
  </si>
  <si>
    <t xml:space="preserve">$8B</t>
  </si>
  <si>
    <t xml:space="preserve">Large power transformers; switchgear</t>
  </si>
  <si>
    <t xml:space="preserve">Transformer order backlog at record levels; US market entry; data center demand</t>
  </si>
  <si>
    <t xml:space="preserve">Korean market access; execution on US expansion; currency</t>
  </si>
  <si>
    <t xml:space="preserve">PARTIALLY PRICED IN — Selective Opportunities</t>
  </si>
  <si>
    <t xml:space="preserve">Neo Performance Materials</t>
  </si>
  <si>
    <t xml:space="preserve">NEO.TO</t>
  </si>
  <si>
    <t xml:space="preserve">$954M</t>
  </si>
  <si>
    <t xml:space="preserve">Rare earth magnets; Magnequench bonded powders</t>
  </si>
  <si>
    <t xml:space="preserve">+183% 52wk but still 12x EBITDA vs 25x RE peers; Estonia ramp mid-2026</t>
  </si>
  <si>
    <t xml:space="preserve">Execution on Narva sintered magnets; Russian feedstock; Nov 2026 China controls</t>
  </si>
  <si>
    <t xml:space="preserve">Wolfspeed</t>
  </si>
  <si>
    <t xml:space="preserve">WOLF</t>
  </si>
  <si>
    <t xml:space="preserve">$1.5B</t>
  </si>
  <si>
    <t xml:space="preserve">ENERGY, DEFENSE</t>
  </si>
  <si>
    <t xml:space="preserve">SiC substrates; GaN-on-SiC for defense radar</t>
  </si>
  <si>
    <t xml:space="preserve">SiC demand secular; defense GaN sole-source positions; distressed valuation</t>
  </si>
  <si>
    <t xml:space="preserve">Severe balance sheet pressure; Mohawk Valley fab execution; -90% from peak</t>
  </si>
  <si>
    <t xml:space="preserve">Qorvo</t>
  </si>
  <si>
    <t xml:space="preserve">QRVO</t>
  </si>
  <si>
    <t xml:space="preserve">GaN-on-SiC MMIC (AESA radar, EW)</t>
  </si>
  <si>
    <t xml:space="preserve">Defense GaN sole-source; beaten down -55% from highs; defense budget growth</t>
  </si>
  <si>
    <t xml:space="preserve">Consumer RF weakness; activist pressure; restructuring uncertainty</t>
  </si>
  <si>
    <t xml:space="preserve">Coherent Corp</t>
  </si>
  <si>
    <t xml:space="preserve">COHR</t>
  </si>
  <si>
    <t xml:space="preserve">$18B</t>
  </si>
  <si>
    <t xml:space="preserve">800G/1.6T optical transceivers; InP lasers</t>
  </si>
  <si>
    <t xml:space="preserve">17% InP EML shortfall forecast 2026; 1.6T ramp; vertical integration</t>
  </si>
  <si>
    <t xml:space="preserve">Already +200% from lows; InP capacity takes 18M to build</t>
  </si>
  <si>
    <t xml:space="preserve">MP Materials</t>
  </si>
  <si>
    <t xml:space="preserve">MP</t>
  </si>
  <si>
    <t xml:space="preserve">$5B</t>
  </si>
  <si>
    <t xml:space="preserve">Rare earth mining &amp; processing (US)</t>
  </si>
  <si>
    <t xml:space="preserve">Only US rare earth mine; magnet facility ramping; DFARS compliance driver</t>
  </si>
  <si>
    <t xml:space="preserve">Still dependent on China for processing; Fort Worth magnet execution</t>
  </si>
  <si>
    <t xml:space="preserve">Cameco</t>
  </si>
  <si>
    <t xml:space="preserve">CCJ</t>
  </si>
  <si>
    <t xml:space="preserve">$30B</t>
  </si>
  <si>
    <t xml:space="preserve">Uranium mining, conversion (UF6)</t>
  </si>
  <si>
    <t xml:space="preserve">Nuclear renaissance; conversion bottleneck underappreciated; Westinghouse JV</t>
  </si>
  <si>
    <t xml:space="preserve">Spot uranium price volatility; contracting cycle timing</t>
  </si>
  <si>
    <t xml:space="preserve">Vertiv Holdings</t>
  </si>
  <si>
    <t xml:space="preserve">VRT</t>
  </si>
  <si>
    <t xml:space="preserve">$55B</t>
  </si>
  <si>
    <t xml:space="preserve">Liquid cooling CDUs; thermal management; UPS</t>
  </si>
  <si>
    <t xml:space="preserve">AI thermal management critical; liquid cooling market doubling; pricing power</t>
  </si>
  <si>
    <t xml:space="preserve">At 35x+ forward earnings; expectations very high; consensus darling</t>
  </si>
  <si>
    <t xml:space="preserve">Eaton Corp</t>
  </si>
  <si>
    <t xml:space="preserve">ETN</t>
  </si>
  <si>
    <t xml:space="preserve">$140B</t>
  </si>
  <si>
    <t xml:space="preserve">Switchgear; power distribution; grid equipment</t>
  </si>
  <si>
    <t xml:space="preserve">Data center power infrastructure; grid modernization; +274% switchgear demand</t>
  </si>
  <si>
    <t xml:space="preserve">At 35x+ forward earnings; priced for perfection; macro sensitive</t>
  </si>
  <si>
    <t xml:space="preserve">PRICED IN — Consensus Trades (Limited Alpha)</t>
  </si>
  <si>
    <t xml:space="preserve">TSMC</t>
  </si>
  <si>
    <t xml:space="preserve">TSM</t>
  </si>
  <si>
    <t xml:space="preserve">$1T+</t>
  </si>
  <si>
    <t xml:space="preserve">CoWoS packaging; 3nm logic; all advanced AI chips</t>
  </si>
  <si>
    <t xml:space="preserve">PRICED IN</t>
  </si>
  <si>
    <t xml:space="preserve">CoWoS doubling; N2 node; Intel foundry share gains</t>
  </si>
  <si>
    <t xml:space="preserve">At 25x+ forward; geopolitical Taiwan risk; capex cycle peak risk</t>
  </si>
  <si>
    <t xml:space="preserve">SK Hynix</t>
  </si>
  <si>
    <t xml:space="preserve">000660.KS</t>
  </si>
  <si>
    <t xml:space="preserve">$100B+</t>
  </si>
  <si>
    <t xml:space="preserve">HBM3E/HBM4 memory; 80%+ HBM market share</t>
  </si>
  <si>
    <t xml:space="preserve">HBM4 ramp; AI memory demand; pricing power</t>
  </si>
  <si>
    <t xml:space="preserve">+180% in 18M; memory cycle peak risk; Samsung catching up</t>
  </si>
  <si>
    <t xml:space="preserve">NVIDIA</t>
  </si>
  <si>
    <t xml:space="preserve">NVDA</t>
  </si>
  <si>
    <t xml:space="preserve">$3T+</t>
  </si>
  <si>
    <t xml:space="preserve">GPU design; CUDA ecosystem; networking (Spectrum-X)</t>
  </si>
  <si>
    <t xml:space="preserve">Blackwell ramp; inference scaling; sovereign AI</t>
  </si>
  <si>
    <t xml:space="preserve">At 30x+ forward; customer ASIC diversification; China restrictions</t>
  </si>
  <si>
    <t xml:space="preserve">ASML</t>
  </si>
  <si>
    <t xml:space="preserve">$350B</t>
  </si>
  <si>
    <t xml:space="preserve">EUV lithography (monopoly)</t>
  </si>
  <si>
    <t xml:space="preserve">High-NA EUV adoption; logic + memory EUV penetration</t>
  </si>
  <si>
    <t xml:space="preserve">Bookings volatility; China restriction headwinds; long cycle</t>
  </si>
  <si>
    <t xml:space="preserve">Shared Bottleneck</t>
  </si>
  <si>
    <t xml:space="preserve">Defense</t>
  </si>
  <si>
    <t xml:space="preserve">Energy</t>
  </si>
  <si>
    <t xml:space="preserve">Why It Matters</t>
  </si>
  <si>
    <t xml:space="preserve">Investment Implication</t>
  </si>
  <si>
    <t xml:space="preserve">Naval transformers; radar power supplies</t>
  </si>
  <si>
    <t xml:space="preserve">Data center step-down transformers</t>
  </si>
  <si>
    <t xml:space="preserve">Grid LPTs; distribution transformers</t>
  </si>
  <si>
    <t xml:space="preserve">ALL THREE verticals compete for the same constrained GOES supply. DOE efficiency standards shifting demand from CRGO to Hi-B GOES. US produces 0% of GOES domestically.</t>
  </si>
  <si>
    <t xml:space="preserve">Cleveland-Cliffs (CLF) is the only US producer of electrical steel. Tariffs + demand convergence = pricing power. ~5x EBITDA.</t>
  </si>
  <si>
    <t xml:space="preserve">Rare Earth Magnets</t>
  </si>
  <si>
    <t xml:space="preserve">Guided missile actuators; radar TWT; jet engine generators</t>
  </si>
  <si>
    <t xml:space="preserve">Hard disk drives (declining); some motor applications</t>
  </si>
  <si>
    <t xml:space="preserve">Wind turbine direct-drive generators; EV traction motors</t>
  </si>
  <si>
    <t xml:space="preserve">DFARS 2027 ban on Chinese-origin RE in defense supply chain forces reshoring. Defense + energy compete for same ex-China magnet supply.</t>
  </si>
  <si>
    <t xml:space="preserve">Neo (NEO.TO) and MP Materials (MP) are primary beneficiaries. Neo at 12x vs 25x RE peers. DFARS deadline is hard catalyst.</t>
  </si>
  <si>
    <t xml:space="preserve">Copper (Power-Grade)</t>
  </si>
  <si>
    <t xml:space="preserve">Shipboard electrical; weapons power systems</t>
  </si>
  <si>
    <t xml:space="preserve">Data center busbars; power distribution; UPS wiring</t>
  </si>
  <si>
    <t xml:space="preserve">Transformer windings; grid cabling; renewable connections</t>
  </si>
  <si>
    <t xml:space="preserve">50% tariffs on imported copper. ALL three verticals need increasing copper. Miner ETF speculation sidelined at 3.3% penetration (your analysis).</t>
  </si>
  <si>
    <t xml:space="preserve">Copper miner ETF rotation thesis. FCX, SCCO, COPX. Structural demand convergence with sidelined speculation.</t>
  </si>
  <si>
    <t xml:space="preserve">SiC / GaN Power Semiconductors</t>
  </si>
  <si>
    <t xml:space="preserve">AESA radar (GaN-on-SiC); EW systems; power conversion</t>
  </si>
  <si>
    <t xml:space="preserve">Data center power delivery; VRM efficiency</t>
  </si>
  <si>
    <t xml:space="preserve">Solar inverters (SiC); EV powertrains; grid-tied inverters</t>
  </si>
  <si>
    <t xml:space="preserve">SiC substrate supply constrained through 2027. Defense GaN sole-source positions at Wolfspeed, Qorvo. Solar SiC demand growing 30%+ YoY.</t>
  </si>
  <si>
    <t xml:space="preserve">Wolfspeed (WOLF) distressed but sole-source defense positions. Qorvo (QRVO) beaten down with defense GaN optionality.</t>
  </si>
  <si>
    <t xml:space="preserve">Medium/High-Voltage Switchgear</t>
  </si>
  <si>
    <t xml:space="preserve">Military base power; shipboard distribution</t>
  </si>
  <si>
    <t xml:space="preserve">Data center power intake; UPS bypass</t>
  </si>
  <si>
    <t xml:space="preserve">Grid substations; renewable interconnection</t>
  </si>
  <si>
    <t xml:space="preserve">Demand up 274% since 2019 across all verticals. Lead times extending. SF6 phase-out adding complexity.</t>
  </si>
  <si>
    <t xml:space="preserve">Eaton (ETN) and Schneider priced in. Look downstream at component suppliers (vacuum interrupters, bushings).</t>
  </si>
  <si>
    <t xml:space="preserve">Titanium &amp; Specialty Alloys</t>
  </si>
  <si>
    <t xml:space="preserve">Airframe structures; missile fins; armor; naval castings</t>
  </si>
  <si>
    <t xml:space="preserve">Minimal direct exposure</t>
  </si>
  <si>
    <t xml:space="preserve">Nuclear reactor components; turbine blades</t>
  </si>
  <si>
    <t xml:space="preserve">US titanium sponge production = 0 since 2020. China surged to 75% of global output. DoD actively funding reshoring.</t>
  </si>
  <si>
    <t xml:space="preserve">IperionX (IPX) just won $99M DoD contract. Only US titanium powder producer. $500M market cap.</t>
  </si>
  <si>
    <t xml:space="preserve">Nuclear Fuel Cycle</t>
  </si>
  <si>
    <t xml:space="preserve">Naval reactor fuel (HEU)</t>
  </si>
  <si>
    <t xml:space="preserve">Data center baseload power (future)</t>
  </si>
  <si>
    <t xml:space="preserve">Existing LWR fleet; new SMR deployment</t>
  </si>
  <si>
    <t xml:space="preserve">HALEU bottleneck constrains ALL advanced reactor designs. Conversion (UF6) capacity also tight. $2.7B DOE investment signals urgency.</t>
  </si>
  <si>
    <t xml:space="preserve">Centrus (LEU) only NRC-licensed HALEU producer. Cameco (CCJ) conversion optionality underappreciated.</t>
  </si>
  <si>
    <t xml:space="preserve">Large Power Transformers</t>
  </si>
  <si>
    <t xml:space="preserve">Military infrastructure; base power</t>
  </si>
  <si>
    <t xml:space="preserve">Data center grid connection (100MW+ per campus)</t>
  </si>
  <si>
    <t xml:space="preserve">Grid expansion; renewable integration; aging fleet replacement</t>
  </si>
  <si>
    <t xml:space="preserve">2-4 year lead times. Copper + GOES = 50%+ of cost, both constrained. Every new data center needs multiple LPTs.</t>
  </si>
  <si>
    <t xml:space="preserve">Japan Steel Works, Hyundai Electric, WEG, SPX Tech — less followed than ABB/Siemens/Eaton but capturing growing share.</t>
  </si>
  <si>
    <t xml:space="preserve">Idea</t>
  </si>
  <si>
    <t xml:space="preserve">Ticker(s)</t>
  </si>
  <si>
    <t xml:space="preserve">Thesis (1 sentence)</t>
  </si>
  <si>
    <t xml:space="preserve">Catalyst (6-18M)</t>
  </si>
  <si>
    <t xml:space="preserve">Current Valuation Signal</t>
  </si>
  <si>
    <t xml:space="preserve">Target Scenario</t>
  </si>
  <si>
    <t xml:space="preserve">Key Risk</t>
  </si>
  <si>
    <t xml:space="preserve">GOES Electrical Steel Monopoly</t>
  </si>
  <si>
    <t xml:space="preserve">ALL THREE</t>
  </si>
  <si>
    <t xml:space="preserve">Cleveland-Cliffs is the only US producer of GOES electrical steel needed by every transformer in every data center, grid upgrade, and defense installation — and it trades at 5x EBITDA while Eaton trades at 35x.</t>
  </si>
  <si>
    <t xml:space="preserve">DOE transformer efficiency standards mandate Hi-B GOES; data center transformer backlog extending; 50% tariffs protect domestic pricing</t>
  </si>
  <si>
    <t xml:space="preserve">EV/EBITDA ~5x; P/E ~8x; market treats CLF as steel cyclical, ignores GOES monopoly</t>
  </si>
  <si>
    <t xml:space="preserve">Market reclassifies CLF as critical infrastructure supplier → 8-10x EBITDA re-rating</t>
  </si>
  <si>
    <t xml:space="preserve">Auto sector demand weakness; steel price cyclicality; leverage ratio</t>
  </si>
  <si>
    <t xml:space="preserve">Japan Steel Works is one of &lt;5 companies globally that can forge nuclear reactor pressure vessels — a capability that takes 10+ years and billions to replicate — and trades at 10x while the nuclear renaissance accelerates.</t>
  </si>
  <si>
    <t xml:space="preserve">New reactor orders (SMR + large); 10+ year backlog forming; irreplaceable capability</t>
  </si>
  <si>
    <t xml:space="preserve">EV/EBITDA ~10x; market prices JSW as Japanese industrial, not nuclear monopoly</t>
  </si>
  <si>
    <t xml:space="preserve">Nuclear order book crystallizes → JSW re-rates as defense/energy critical asset</t>
  </si>
  <si>
    <t xml:space="preserve">Japanese macro; order timing; yen depreciation impact</t>
  </si>
  <si>
    <t xml:space="preserve">ABF Substrate Hidden in Food Conglomerate</t>
  </si>
  <si>
    <t xml:space="preserve">Ajinomoto's Build-up Film (ABF) is sole-source material for every advanced AI chip package (CoWoS, InFO) — TSMC doubling CoWoS = ABF demand doubling — but ABF is buried inside a $15B food company.</t>
  </si>
  <si>
    <t xml:space="preserve">CoWoS capacity doubling through 2026-2027; ABF has no substitute; every NVIDIA GPU requires it</t>
  </si>
  <si>
    <t xml:space="preserve">ABF is &lt;15% of Ajinomoto revenue; conglomerate discount masks AI infrastructure exposure</t>
  </si>
  <si>
    <t xml:space="preserve">Market discovers ABF optionality → conglomerate re-rating or ABF spinoff speculation</t>
  </si>
  <si>
    <t xml:space="preserve">Japanese conglomerate governance; ABF capacity expansion capex; alternative substrate R&amp;D</t>
  </si>
  <si>
    <t xml:space="preserve">US Titanium Reshoring</t>
  </si>
  <si>
    <t xml:space="preserve">IperionX is the only US titanium powder manufacturer, just won a $99M DoD contract, and trades at $500M market cap while the US has had ZERO domestic titanium sponge production since 2020.</t>
  </si>
  <si>
    <t xml:space="preserve">DoD reshoring mandates; Navy ship construction bottleneck (12+ month lead times); additional DoD contracts probable</t>
  </si>
  <si>
    <t xml:space="preserve">$500M market cap; pre-revenue scaling; DoD contract validates technology</t>
  </si>
  <si>
    <t xml:space="preserve">Successful production scaling → becomes critical defense supplier → multi-bagger potential</t>
  </si>
  <si>
    <t xml:space="preserve">Pre-revenue execution risk; small cap illiquidity; scaling manufacturing</t>
  </si>
  <si>
    <t xml:space="preserve">InP EML Laser Chip Shortage</t>
  </si>
  <si>
    <t xml:space="preserve">COHR, LITE</t>
  </si>
  <si>
    <t xml:space="preserve">Indium Phosphide epitaxial laser chips face a 17% supply shortfall in 2026 — every 800G and 1.6T optical transceiver needs them — but InP capacity takes 18 months to build and the shortage is structural.</t>
  </si>
  <si>
    <t xml:space="preserve">800G/1.6T deployment acceleration; 17% shortfall expanding; CPO transition requires more InP lasers, not fewer</t>
  </si>
  <si>
    <t xml:space="preserve">Coherent repriced but InP-specific suppliers (Lumentum, Source Photonics) lagging</t>
  </si>
  <si>
    <t xml:space="preserve">InP shortage becomes consensus narrative → laser/photonics companies re-rate</t>
  </si>
  <si>
    <t xml:space="preserve">Coherent already +200%; 1.6T timeline uncertainty; CPO adoption rate</t>
  </si>
  <si>
    <t xml:space="preserve">Defense GaN Sole-Source Positions</t>
  </si>
  <si>
    <t xml:space="preserve">QRVO, WOLF</t>
  </si>
  <si>
    <t xml:space="preserve">Qorvo and Wolfspeed hold sole-source GaN-on-SiC positions for AESA radar and EW systems in the F-35, F/A-18, and next-gen fighters — but both stocks are beaten down 50-90% on consumer/industrial weakness.</t>
  </si>
  <si>
    <t xml:space="preserve">Defense budget growth 3-5% real; GaN sole-source qualification cycles = 5+ years to replace; F-35 production ramp</t>
  </si>
  <si>
    <t xml:space="preserve">Qorvo -55% from highs; Wolfspeed near distressed levels; defense revenue underappreciated</t>
  </si>
  <si>
    <t xml:space="preserve">Market separates defense GaN value from consumer weakness → sum-of-parts re-rating</t>
  </si>
  <si>
    <t xml:space="preserve">Wolfspeed balance sheet; Qorvo activist disruption; defense budget uncertainty</t>
  </si>
  <si>
    <t xml:space="preserve">Transformer Manufacturers (Non-Consensus)</t>
  </si>
  <si>
    <t xml:space="preserve">WEGE3.SA, 267260.KS, SPXC</t>
  </si>
  <si>
    <t xml:space="preserve">While the market has bid Eaton and ABB to 35x for "data center power infrastructure," the actual transformer manufacturers — WEG, Hyundai Electric, SPX Tech — are less followed but capturing growing order books.</t>
  </si>
  <si>
    <t xml:space="preserve">Transformer lead times 2-4 years; every new data center needs multiple LPTs; order backlogs at records</t>
  </si>
  <si>
    <t xml:space="preserve">WEG premium in Brazil but unknown in US; Hyundai Electric unknown outside Korea; SPX smaller US industrial</t>
  </si>
  <si>
    <t xml:space="preserve">Transformer demand narrative broadens beyond Eaton/ABB → second-tier manufacturers re-rate</t>
  </si>
  <si>
    <t xml:space="preserve">Currency risk (BRL, KRW); execution on order backlog; geographic market access</t>
  </si>
  <si>
    <t xml:space="preserve">Copper Miner Speculation Gap</t>
  </si>
  <si>
    <t xml:space="preserve">FCX, SCCO, COPX</t>
  </si>
  <si>
    <t xml:space="preserve">Your analysis: copper miner ETF AUM is 3.3% of annual mine supply value vs 22.7% for silver — speculative capital hasn't arrived despite copper being critical input to transformers, data centers, and defense systems.</t>
  </si>
  <si>
    <t xml:space="preserve">Speculative rotation from silver to copper miners; data center demand narrative broadening to include copper; tariff-driven reshoring</t>
  </si>
  <si>
    <t xml:space="preserve">Copper miner ETFs at 3.3% penetration vs silver at 22.7% — 7x gap in speculative saturation</t>
  </si>
  <si>
    <t xml:space="preserve">Copper miners get the same speculative flow treatment silver miners got in 2025 → asymmetric re-rating</t>
  </si>
  <si>
    <t xml:space="preserve">Copper price cyclicality; China demand slowdown; mining execution risk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</si>
</sst>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9C65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sz val="9"/>
      <color rgb="FF9C000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0000"/>
        <bgColor rgb="FFC00000"/>
      </patternFill>
    </fill>
    <fill>
      <patternFill patternType="solid">
        <fgColor rgb="FFFFA500"/>
        <bgColor rgb="FFFFCC00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4C6E7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6" min="4" style="0" width="30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22.3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4" t="n">
        <v>5</v>
      </c>
      <c r="G3" s="3" t="s">
        <v>13</v>
      </c>
      <c r="H3" s="3" t="s">
        <v>14</v>
      </c>
    </row>
    <row r="4" customFormat="false" ht="22.35" hidden="false" customHeight="false" outlineLevel="0" collapsed="false">
      <c r="A4" s="3" t="s">
        <v>8</v>
      </c>
      <c r="B4" s="3" t="s">
        <v>15</v>
      </c>
      <c r="C4" s="3" t="s">
        <v>10</v>
      </c>
      <c r="D4" s="3" t="s">
        <v>16</v>
      </c>
      <c r="E4" s="3" t="s">
        <v>17</v>
      </c>
      <c r="F4" s="5" t="n">
        <v>4</v>
      </c>
      <c r="G4" s="3" t="s">
        <v>18</v>
      </c>
      <c r="H4" s="3" t="s">
        <v>19</v>
      </c>
    </row>
    <row r="5" customFormat="false" ht="22.35" hidden="false" customHeight="false" outlineLevel="0" collapsed="false">
      <c r="A5" s="3" t="s">
        <v>8</v>
      </c>
      <c r="B5" s="3" t="s">
        <v>15</v>
      </c>
      <c r="C5" s="3" t="s">
        <v>10</v>
      </c>
      <c r="D5" s="3" t="s">
        <v>20</v>
      </c>
      <c r="E5" s="3" t="s">
        <v>21</v>
      </c>
      <c r="F5" s="5" t="n">
        <v>4</v>
      </c>
      <c r="G5" s="3" t="s">
        <v>18</v>
      </c>
      <c r="H5" s="3" t="s">
        <v>22</v>
      </c>
    </row>
    <row r="6" customFormat="false" ht="22.35" hidden="false" customHeight="false" outlineLevel="0" collapsed="false">
      <c r="A6" s="3" t="s">
        <v>8</v>
      </c>
      <c r="B6" s="3" t="s">
        <v>15</v>
      </c>
      <c r="C6" s="3" t="s">
        <v>23</v>
      </c>
      <c r="D6" s="3" t="s">
        <v>24</v>
      </c>
      <c r="E6" s="3" t="s">
        <v>25</v>
      </c>
      <c r="F6" s="6" t="n">
        <v>3</v>
      </c>
      <c r="G6" s="3" t="s">
        <v>26</v>
      </c>
      <c r="H6" s="3" t="s">
        <v>27</v>
      </c>
    </row>
    <row r="7" customFormat="false" ht="15" hidden="false" customHeight="false" outlineLevel="0" collapsed="false">
      <c r="A7" s="3" t="s">
        <v>8</v>
      </c>
      <c r="B7" s="3" t="s">
        <v>15</v>
      </c>
      <c r="C7" s="3" t="s">
        <v>28</v>
      </c>
      <c r="D7" s="3" t="s">
        <v>29</v>
      </c>
      <c r="E7" s="3" t="s">
        <v>30</v>
      </c>
      <c r="F7" s="6" t="n">
        <v>3</v>
      </c>
      <c r="G7" s="3" t="s">
        <v>26</v>
      </c>
      <c r="H7" s="3" t="s">
        <v>31</v>
      </c>
    </row>
    <row r="8" customFormat="false" ht="22.35" hidden="false" customHeight="false" outlineLevel="0" collapsed="false">
      <c r="A8" s="3" t="s">
        <v>8</v>
      </c>
      <c r="B8" s="3" t="s">
        <v>15</v>
      </c>
      <c r="C8" s="3" t="s">
        <v>32</v>
      </c>
      <c r="D8" s="3" t="s">
        <v>33</v>
      </c>
      <c r="E8" s="3" t="s">
        <v>34</v>
      </c>
      <c r="F8" s="5" t="n">
        <v>4</v>
      </c>
      <c r="G8" s="3" t="s">
        <v>26</v>
      </c>
      <c r="H8" s="3" t="s">
        <v>35</v>
      </c>
    </row>
    <row r="9" customFormat="false" ht="22.35" hidden="false" customHeight="false" outlineLevel="0" collapsed="false">
      <c r="A9" s="3" t="s">
        <v>8</v>
      </c>
      <c r="B9" s="3" t="s">
        <v>15</v>
      </c>
      <c r="C9" s="3" t="s">
        <v>36</v>
      </c>
      <c r="D9" s="3" t="s">
        <v>37</v>
      </c>
      <c r="E9" s="3" t="s">
        <v>38</v>
      </c>
      <c r="F9" s="4" t="n">
        <v>5</v>
      </c>
      <c r="G9" s="3" t="s">
        <v>13</v>
      </c>
      <c r="H9" s="3" t="s">
        <v>14</v>
      </c>
    </row>
    <row r="10" customFormat="false" ht="22.35" hidden="false" customHeight="false" outlineLevel="0" collapsed="false">
      <c r="A10" s="3" t="s">
        <v>8</v>
      </c>
      <c r="B10" s="3" t="s">
        <v>15</v>
      </c>
      <c r="C10" s="3" t="s">
        <v>39</v>
      </c>
      <c r="D10" s="3" t="s">
        <v>40</v>
      </c>
      <c r="E10" s="3" t="s">
        <v>41</v>
      </c>
      <c r="F10" s="5" t="n">
        <v>4</v>
      </c>
      <c r="G10" s="3" t="s">
        <v>42</v>
      </c>
      <c r="H10" s="3" t="s">
        <v>43</v>
      </c>
    </row>
    <row r="11" customFormat="false" ht="22.35" hidden="false" customHeight="false" outlineLevel="0" collapsed="false">
      <c r="A11" s="3" t="s">
        <v>8</v>
      </c>
      <c r="B11" s="3" t="s">
        <v>44</v>
      </c>
      <c r="C11" s="3" t="s">
        <v>45</v>
      </c>
      <c r="D11" s="3" t="s">
        <v>46</v>
      </c>
      <c r="E11" s="3" t="s">
        <v>47</v>
      </c>
      <c r="F11" s="5" t="n">
        <v>4</v>
      </c>
      <c r="G11" s="3" t="s">
        <v>26</v>
      </c>
      <c r="H11" s="3" t="s">
        <v>48</v>
      </c>
    </row>
    <row r="12" customFormat="false" ht="22.35" hidden="false" customHeight="false" outlineLevel="0" collapsed="false">
      <c r="A12" s="3" t="s">
        <v>8</v>
      </c>
      <c r="B12" s="3" t="s">
        <v>49</v>
      </c>
      <c r="C12" s="3" t="s">
        <v>50</v>
      </c>
      <c r="D12" s="3" t="s">
        <v>51</v>
      </c>
      <c r="E12" s="3" t="s">
        <v>52</v>
      </c>
      <c r="F12" s="6" t="n">
        <v>3</v>
      </c>
      <c r="G12" s="3" t="s">
        <v>18</v>
      </c>
      <c r="H12" s="3" t="s">
        <v>53</v>
      </c>
    </row>
    <row r="13" customFormat="false" ht="22.35" hidden="false" customHeight="false" outlineLevel="0" collapsed="false">
      <c r="A13" s="3" t="s">
        <v>8</v>
      </c>
      <c r="B13" s="3" t="s">
        <v>49</v>
      </c>
      <c r="C13" s="3" t="s">
        <v>54</v>
      </c>
      <c r="D13" s="3" t="s">
        <v>55</v>
      </c>
      <c r="E13" s="3" t="s">
        <v>56</v>
      </c>
      <c r="F13" s="6" t="n">
        <v>3</v>
      </c>
      <c r="G13" s="3" t="s">
        <v>26</v>
      </c>
      <c r="H13" s="3" t="s">
        <v>57</v>
      </c>
    </row>
    <row r="14" customFormat="false" ht="22.35" hidden="false" customHeight="false" outlineLevel="0" collapsed="false">
      <c r="A14" s="3" t="s">
        <v>8</v>
      </c>
      <c r="B14" s="3" t="s">
        <v>49</v>
      </c>
      <c r="C14" s="3" t="s">
        <v>58</v>
      </c>
      <c r="D14" s="3" t="s">
        <v>59</v>
      </c>
      <c r="E14" s="3" t="s">
        <v>60</v>
      </c>
      <c r="F14" s="5" t="n">
        <v>4</v>
      </c>
      <c r="G14" s="3" t="s">
        <v>26</v>
      </c>
      <c r="H14" s="3" t="s">
        <v>35</v>
      </c>
    </row>
    <row r="15" customFormat="false" ht="22.35" hidden="false" customHeight="false" outlineLevel="0" collapsed="false">
      <c r="A15" s="3" t="s">
        <v>8</v>
      </c>
      <c r="B15" s="3" t="s">
        <v>49</v>
      </c>
      <c r="C15" s="3" t="s">
        <v>61</v>
      </c>
      <c r="D15" s="3" t="s">
        <v>62</v>
      </c>
      <c r="E15" s="3" t="s">
        <v>63</v>
      </c>
      <c r="F15" s="4" t="n">
        <v>5</v>
      </c>
      <c r="G15" s="3" t="s">
        <v>64</v>
      </c>
      <c r="H15" s="3" t="s">
        <v>65</v>
      </c>
    </row>
    <row r="16" customFormat="false" ht="22.35" hidden="false" customHeight="false" outlineLevel="0" collapsed="false">
      <c r="A16" s="3" t="s">
        <v>8</v>
      </c>
      <c r="B16" s="3" t="s">
        <v>66</v>
      </c>
      <c r="C16" s="3" t="s">
        <v>67</v>
      </c>
      <c r="D16" s="3" t="s">
        <v>68</v>
      </c>
      <c r="E16" s="3" t="s">
        <v>69</v>
      </c>
      <c r="F16" s="6" t="n">
        <v>3</v>
      </c>
      <c r="G16" s="3" t="s">
        <v>13</v>
      </c>
      <c r="H16" s="3" t="s">
        <v>14</v>
      </c>
    </row>
    <row r="17" customFormat="false" ht="22.35" hidden="false" customHeight="false" outlineLevel="0" collapsed="false">
      <c r="A17" s="3" t="s">
        <v>8</v>
      </c>
      <c r="B17" s="3" t="s">
        <v>70</v>
      </c>
      <c r="C17" s="3" t="s">
        <v>71</v>
      </c>
      <c r="D17" s="3" t="s">
        <v>72</v>
      </c>
      <c r="E17" s="3" t="s">
        <v>73</v>
      </c>
      <c r="F17" s="6" t="n">
        <v>3</v>
      </c>
      <c r="G17" s="3" t="s">
        <v>18</v>
      </c>
      <c r="H17" s="3" t="s">
        <v>14</v>
      </c>
    </row>
    <row r="18" customFormat="false" ht="15" hidden="false" customHeight="false" outlineLevel="0" collapsed="false">
      <c r="A18" s="3" t="s">
        <v>8</v>
      </c>
      <c r="B18" s="3" t="s">
        <v>70</v>
      </c>
      <c r="C18" s="3" t="s">
        <v>74</v>
      </c>
      <c r="D18" s="3" t="s">
        <v>75</v>
      </c>
      <c r="E18" s="3" t="s">
        <v>76</v>
      </c>
      <c r="F18" s="5" t="n">
        <v>4</v>
      </c>
      <c r="G18" s="3" t="s">
        <v>26</v>
      </c>
      <c r="H18" s="3" t="s">
        <v>77</v>
      </c>
    </row>
    <row r="19" customFormat="false" ht="22.35" hidden="false" customHeight="false" outlineLevel="0" collapsed="false">
      <c r="A19" s="3" t="s">
        <v>8</v>
      </c>
      <c r="B19" s="3" t="s">
        <v>78</v>
      </c>
      <c r="C19" s="3" t="s">
        <v>79</v>
      </c>
      <c r="D19" s="3" t="s">
        <v>80</v>
      </c>
      <c r="E19" s="3" t="s">
        <v>81</v>
      </c>
      <c r="F19" s="4" t="n">
        <v>5</v>
      </c>
      <c r="G19" s="3" t="s">
        <v>13</v>
      </c>
      <c r="H19" s="3" t="s">
        <v>14</v>
      </c>
    </row>
    <row r="20" customFormat="false" ht="15" hidden="false" customHeight="false" outlineLevel="0" collapsed="false">
      <c r="A20" s="3" t="s">
        <v>8</v>
      </c>
      <c r="B20" s="3" t="s">
        <v>82</v>
      </c>
      <c r="C20" s="3" t="s">
        <v>83</v>
      </c>
      <c r="D20" s="3" t="s">
        <v>84</v>
      </c>
      <c r="E20" s="3" t="s">
        <v>85</v>
      </c>
      <c r="F20" s="6" t="n">
        <v>3</v>
      </c>
      <c r="G20" s="3" t="s">
        <v>26</v>
      </c>
      <c r="H20" s="3" t="s">
        <v>27</v>
      </c>
    </row>
    <row r="21" customFormat="false" ht="15" hidden="false" customHeight="false" outlineLevel="0" collapsed="false">
      <c r="A21" s="3" t="s">
        <v>8</v>
      </c>
      <c r="B21" s="3" t="s">
        <v>82</v>
      </c>
      <c r="C21" s="3" t="s">
        <v>86</v>
      </c>
      <c r="D21" s="3" t="s">
        <v>87</v>
      </c>
      <c r="E21" s="3" t="s">
        <v>88</v>
      </c>
      <c r="F21" s="6" t="n">
        <v>3</v>
      </c>
      <c r="G21" s="3" t="s">
        <v>26</v>
      </c>
      <c r="H21" s="3" t="s">
        <v>35</v>
      </c>
    </row>
    <row r="22" customFormat="false" ht="15" hidden="false" customHeight="false" outlineLevel="0" collapsed="false">
      <c r="A22" s="2" t="s">
        <v>89</v>
      </c>
      <c r="B22" s="2"/>
      <c r="C22" s="2"/>
      <c r="D22" s="2"/>
      <c r="E22" s="2"/>
      <c r="F22" s="2"/>
      <c r="G22" s="2"/>
      <c r="H22" s="2"/>
    </row>
    <row r="23" customFormat="false" ht="22.35" hidden="false" customHeight="false" outlineLevel="0" collapsed="false">
      <c r="A23" s="3" t="s">
        <v>90</v>
      </c>
      <c r="B23" s="3" t="s">
        <v>91</v>
      </c>
      <c r="C23" s="3" t="s">
        <v>92</v>
      </c>
      <c r="D23" s="3" t="s">
        <v>93</v>
      </c>
      <c r="E23" s="3" t="s">
        <v>94</v>
      </c>
      <c r="F23" s="5" t="n">
        <v>4</v>
      </c>
      <c r="G23" s="3" t="s">
        <v>13</v>
      </c>
      <c r="H23" s="3" t="s">
        <v>14</v>
      </c>
    </row>
    <row r="24" customFormat="false" ht="22.35" hidden="false" customHeight="false" outlineLevel="0" collapsed="false">
      <c r="A24" s="3" t="s">
        <v>90</v>
      </c>
      <c r="B24" s="3" t="s">
        <v>95</v>
      </c>
      <c r="C24" s="3" t="s">
        <v>96</v>
      </c>
      <c r="D24" s="3" t="s">
        <v>97</v>
      </c>
      <c r="E24" s="3" t="s">
        <v>98</v>
      </c>
      <c r="F24" s="5" t="n">
        <v>4</v>
      </c>
      <c r="G24" s="3" t="s">
        <v>99</v>
      </c>
      <c r="H24" s="3" t="s">
        <v>14</v>
      </c>
    </row>
    <row r="25" customFormat="false" ht="22.35" hidden="false" customHeight="false" outlineLevel="0" collapsed="false">
      <c r="A25" s="3" t="s">
        <v>90</v>
      </c>
      <c r="B25" s="3" t="s">
        <v>95</v>
      </c>
      <c r="C25" s="3" t="s">
        <v>100</v>
      </c>
      <c r="D25" s="3" t="s">
        <v>101</v>
      </c>
      <c r="E25" s="3" t="s">
        <v>102</v>
      </c>
      <c r="F25" s="4" t="n">
        <v>5</v>
      </c>
      <c r="G25" s="3" t="s">
        <v>103</v>
      </c>
      <c r="H25" s="3" t="s">
        <v>14</v>
      </c>
    </row>
    <row r="26" customFormat="false" ht="15" hidden="false" customHeight="false" outlineLevel="0" collapsed="false">
      <c r="A26" s="3" t="s">
        <v>90</v>
      </c>
      <c r="B26" s="3" t="s">
        <v>95</v>
      </c>
      <c r="C26" s="3" t="s">
        <v>104</v>
      </c>
      <c r="D26" s="3" t="s">
        <v>105</v>
      </c>
      <c r="E26" s="3" t="s">
        <v>106</v>
      </c>
      <c r="F26" s="5" t="n">
        <v>4</v>
      </c>
      <c r="G26" s="3" t="s">
        <v>26</v>
      </c>
      <c r="H26" s="3" t="s">
        <v>19</v>
      </c>
    </row>
    <row r="27" customFormat="false" ht="22.35" hidden="false" customHeight="false" outlineLevel="0" collapsed="false">
      <c r="A27" s="3" t="s">
        <v>90</v>
      </c>
      <c r="B27" s="3" t="s">
        <v>95</v>
      </c>
      <c r="C27" s="3" t="s">
        <v>107</v>
      </c>
      <c r="D27" s="3" t="s">
        <v>108</v>
      </c>
      <c r="E27" s="3" t="s">
        <v>109</v>
      </c>
      <c r="F27" s="4" t="n">
        <v>5</v>
      </c>
      <c r="G27" s="3" t="s">
        <v>13</v>
      </c>
      <c r="H27" s="3" t="s">
        <v>14</v>
      </c>
    </row>
    <row r="28" customFormat="false" ht="22.35" hidden="false" customHeight="false" outlineLevel="0" collapsed="false">
      <c r="A28" s="3" t="s">
        <v>90</v>
      </c>
      <c r="B28" s="3" t="s">
        <v>95</v>
      </c>
      <c r="C28" s="3" t="s">
        <v>107</v>
      </c>
      <c r="D28" s="3" t="s">
        <v>110</v>
      </c>
      <c r="E28" s="3" t="s">
        <v>111</v>
      </c>
      <c r="F28" s="5" t="n">
        <v>4</v>
      </c>
      <c r="G28" s="3" t="s">
        <v>103</v>
      </c>
      <c r="H28" s="3" t="s">
        <v>14</v>
      </c>
    </row>
    <row r="29" customFormat="false" ht="22.35" hidden="false" customHeight="false" outlineLevel="0" collapsed="false">
      <c r="A29" s="3" t="s">
        <v>90</v>
      </c>
      <c r="B29" s="3" t="s">
        <v>95</v>
      </c>
      <c r="C29" s="3" t="s">
        <v>112</v>
      </c>
      <c r="D29" s="3" t="s">
        <v>113</v>
      </c>
      <c r="E29" s="3" t="s">
        <v>114</v>
      </c>
      <c r="F29" s="4" t="n">
        <v>5</v>
      </c>
      <c r="G29" s="3" t="s">
        <v>115</v>
      </c>
      <c r="H29" s="3" t="s">
        <v>48</v>
      </c>
    </row>
    <row r="30" customFormat="false" ht="15" hidden="false" customHeight="false" outlineLevel="0" collapsed="false">
      <c r="A30" s="3" t="s">
        <v>90</v>
      </c>
      <c r="B30" s="3" t="s">
        <v>95</v>
      </c>
      <c r="C30" s="3" t="s">
        <v>116</v>
      </c>
      <c r="D30" s="3" t="s">
        <v>117</v>
      </c>
      <c r="E30" s="3" t="s">
        <v>118</v>
      </c>
      <c r="F30" s="5" t="n">
        <v>4</v>
      </c>
      <c r="G30" s="3" t="s">
        <v>119</v>
      </c>
      <c r="H30" s="3" t="s">
        <v>27</v>
      </c>
    </row>
    <row r="31" customFormat="false" ht="22.35" hidden="false" customHeight="false" outlineLevel="0" collapsed="false">
      <c r="A31" s="3" t="s">
        <v>90</v>
      </c>
      <c r="B31" s="3" t="s">
        <v>95</v>
      </c>
      <c r="C31" s="3" t="s">
        <v>120</v>
      </c>
      <c r="D31" s="3" t="s">
        <v>121</v>
      </c>
      <c r="E31" s="3" t="s">
        <v>122</v>
      </c>
      <c r="F31" s="6" t="n">
        <v>3</v>
      </c>
      <c r="G31" s="3" t="s">
        <v>26</v>
      </c>
      <c r="H31" s="3" t="s">
        <v>31</v>
      </c>
    </row>
    <row r="32" customFormat="false" ht="22.35" hidden="false" customHeight="false" outlineLevel="0" collapsed="false">
      <c r="A32" s="3" t="s">
        <v>90</v>
      </c>
      <c r="B32" s="3" t="s">
        <v>95</v>
      </c>
      <c r="C32" s="3" t="s">
        <v>120</v>
      </c>
      <c r="D32" s="3" t="s">
        <v>123</v>
      </c>
      <c r="E32" s="3" t="s">
        <v>124</v>
      </c>
      <c r="F32" s="6" t="n">
        <v>3</v>
      </c>
      <c r="G32" s="3" t="s">
        <v>125</v>
      </c>
      <c r="H32" s="3" t="s">
        <v>48</v>
      </c>
    </row>
    <row r="33" customFormat="false" ht="22.35" hidden="false" customHeight="false" outlineLevel="0" collapsed="false">
      <c r="A33" s="3" t="s">
        <v>90</v>
      </c>
      <c r="B33" s="3" t="s">
        <v>126</v>
      </c>
      <c r="C33" s="3" t="s">
        <v>127</v>
      </c>
      <c r="D33" s="3" t="s">
        <v>128</v>
      </c>
      <c r="E33" s="3" t="s">
        <v>129</v>
      </c>
      <c r="F33" s="5" t="n">
        <v>4</v>
      </c>
      <c r="G33" s="3" t="s">
        <v>13</v>
      </c>
      <c r="H33" s="3" t="s">
        <v>14</v>
      </c>
    </row>
    <row r="34" customFormat="false" ht="22.35" hidden="false" customHeight="false" outlineLevel="0" collapsed="false">
      <c r="A34" s="3" t="s">
        <v>90</v>
      </c>
      <c r="B34" s="3" t="s">
        <v>126</v>
      </c>
      <c r="C34" s="3" t="s">
        <v>130</v>
      </c>
      <c r="D34" s="3" t="s">
        <v>131</v>
      </c>
      <c r="E34" s="3" t="s">
        <v>132</v>
      </c>
      <c r="F34" s="5" t="n">
        <v>4</v>
      </c>
      <c r="G34" s="3" t="s">
        <v>133</v>
      </c>
      <c r="H34" s="3" t="s">
        <v>57</v>
      </c>
    </row>
    <row r="35" customFormat="false" ht="22.35" hidden="false" customHeight="false" outlineLevel="0" collapsed="false">
      <c r="A35" s="3" t="s">
        <v>90</v>
      </c>
      <c r="B35" s="3" t="s">
        <v>126</v>
      </c>
      <c r="C35" s="3" t="s">
        <v>130</v>
      </c>
      <c r="D35" s="3" t="s">
        <v>134</v>
      </c>
      <c r="E35" s="3" t="s">
        <v>135</v>
      </c>
      <c r="F35" s="6" t="n">
        <v>3</v>
      </c>
      <c r="G35" s="3" t="s">
        <v>26</v>
      </c>
      <c r="H35" s="3" t="s">
        <v>136</v>
      </c>
    </row>
    <row r="36" customFormat="false" ht="22.35" hidden="false" customHeight="false" outlineLevel="0" collapsed="false">
      <c r="A36" s="3" t="s">
        <v>90</v>
      </c>
      <c r="B36" s="3" t="s">
        <v>137</v>
      </c>
      <c r="C36" s="3" t="s">
        <v>138</v>
      </c>
      <c r="D36" s="3" t="s">
        <v>139</v>
      </c>
      <c r="E36" s="3" t="s">
        <v>140</v>
      </c>
      <c r="F36" s="3" t="n">
        <v>2</v>
      </c>
      <c r="G36" s="3" t="s">
        <v>141</v>
      </c>
      <c r="H36" s="3" t="s">
        <v>27</v>
      </c>
    </row>
    <row r="37" customFormat="false" ht="15" hidden="false" customHeight="false" outlineLevel="0" collapsed="false">
      <c r="A37" s="3" t="s">
        <v>90</v>
      </c>
      <c r="B37" s="3" t="s">
        <v>137</v>
      </c>
      <c r="C37" s="3" t="s">
        <v>138</v>
      </c>
      <c r="D37" s="3" t="s">
        <v>142</v>
      </c>
      <c r="E37" s="3" t="s">
        <v>143</v>
      </c>
      <c r="F37" s="6" t="n">
        <v>3</v>
      </c>
      <c r="G37" s="3" t="s">
        <v>125</v>
      </c>
      <c r="H37" s="3" t="s">
        <v>144</v>
      </c>
    </row>
    <row r="38" customFormat="false" ht="22.35" hidden="false" customHeight="false" outlineLevel="0" collapsed="false">
      <c r="A38" s="3" t="s">
        <v>90</v>
      </c>
      <c r="B38" s="3" t="s">
        <v>137</v>
      </c>
      <c r="C38" s="3" t="s">
        <v>138</v>
      </c>
      <c r="D38" s="3" t="s">
        <v>145</v>
      </c>
      <c r="E38" s="3" t="s">
        <v>146</v>
      </c>
      <c r="F38" s="4" t="n">
        <v>5</v>
      </c>
      <c r="G38" s="3" t="s">
        <v>115</v>
      </c>
      <c r="H38" s="3" t="s">
        <v>136</v>
      </c>
    </row>
    <row r="39" customFormat="false" ht="22.35" hidden="false" customHeight="false" outlineLevel="0" collapsed="false">
      <c r="A39" s="3" t="s">
        <v>90</v>
      </c>
      <c r="B39" s="3" t="s">
        <v>137</v>
      </c>
      <c r="C39" s="3" t="s">
        <v>138</v>
      </c>
      <c r="D39" s="3" t="s">
        <v>147</v>
      </c>
      <c r="E39" s="3" t="s">
        <v>148</v>
      </c>
      <c r="F39" s="4" t="n">
        <v>5</v>
      </c>
      <c r="G39" s="3" t="s">
        <v>115</v>
      </c>
      <c r="H39" s="3" t="s">
        <v>77</v>
      </c>
    </row>
    <row r="40" customFormat="false" ht="22.35" hidden="false" customHeight="false" outlineLevel="0" collapsed="false">
      <c r="A40" s="3" t="s">
        <v>90</v>
      </c>
      <c r="B40" s="3" t="s">
        <v>137</v>
      </c>
      <c r="C40" s="3" t="s">
        <v>149</v>
      </c>
      <c r="D40" s="3" t="s">
        <v>150</v>
      </c>
      <c r="E40" s="3" t="s">
        <v>151</v>
      </c>
      <c r="F40" s="6" t="n">
        <v>3</v>
      </c>
      <c r="G40" s="3" t="s">
        <v>103</v>
      </c>
      <c r="H40" s="3" t="s">
        <v>152</v>
      </c>
    </row>
    <row r="41" customFormat="false" ht="15" hidden="false" customHeight="false" outlineLevel="0" collapsed="false">
      <c r="A41" s="2" t="s">
        <v>153</v>
      </c>
      <c r="B41" s="2"/>
      <c r="C41" s="2"/>
      <c r="D41" s="2"/>
      <c r="E41" s="2"/>
      <c r="F41" s="2"/>
      <c r="G41" s="2"/>
      <c r="H41" s="2"/>
    </row>
    <row r="42" customFormat="false" ht="22.35" hidden="false" customHeight="false" outlineLevel="0" collapsed="false">
      <c r="A42" s="3" t="s">
        <v>153</v>
      </c>
      <c r="B42" s="3" t="s">
        <v>154</v>
      </c>
      <c r="C42" s="3" t="s">
        <v>155</v>
      </c>
      <c r="D42" s="3" t="s">
        <v>156</v>
      </c>
      <c r="E42" s="3" t="s">
        <v>157</v>
      </c>
      <c r="F42" s="6" t="n">
        <v>3</v>
      </c>
      <c r="G42" s="3" t="s">
        <v>26</v>
      </c>
      <c r="H42" s="3" t="s">
        <v>14</v>
      </c>
    </row>
    <row r="43" customFormat="false" ht="22.35" hidden="false" customHeight="false" outlineLevel="0" collapsed="false">
      <c r="A43" s="3" t="s">
        <v>153</v>
      </c>
      <c r="B43" s="3" t="s">
        <v>158</v>
      </c>
      <c r="C43" s="3" t="s">
        <v>155</v>
      </c>
      <c r="D43" s="3" t="s">
        <v>159</v>
      </c>
      <c r="E43" s="3" t="s">
        <v>160</v>
      </c>
      <c r="F43" s="5" t="n">
        <v>4</v>
      </c>
      <c r="G43" s="3" t="s">
        <v>161</v>
      </c>
      <c r="H43" s="3" t="s">
        <v>14</v>
      </c>
    </row>
    <row r="44" customFormat="false" ht="22.35" hidden="false" customHeight="false" outlineLevel="0" collapsed="false">
      <c r="A44" s="3" t="s">
        <v>153</v>
      </c>
      <c r="B44" s="3" t="s">
        <v>158</v>
      </c>
      <c r="C44" s="3" t="s">
        <v>155</v>
      </c>
      <c r="D44" s="3" t="s">
        <v>162</v>
      </c>
      <c r="E44" s="3" t="s">
        <v>163</v>
      </c>
      <c r="F44" s="6" t="n">
        <v>3</v>
      </c>
      <c r="G44" s="3" t="s">
        <v>161</v>
      </c>
      <c r="H44" s="3" t="s">
        <v>14</v>
      </c>
    </row>
    <row r="45" customFormat="false" ht="22.35" hidden="false" customHeight="false" outlineLevel="0" collapsed="false">
      <c r="A45" s="3" t="s">
        <v>153</v>
      </c>
      <c r="B45" s="3" t="s">
        <v>158</v>
      </c>
      <c r="C45" s="3" t="s">
        <v>164</v>
      </c>
      <c r="D45" s="3" t="s">
        <v>165</v>
      </c>
      <c r="E45" s="3" t="s">
        <v>166</v>
      </c>
      <c r="F45" s="6" t="n">
        <v>3</v>
      </c>
      <c r="G45" s="3" t="s">
        <v>26</v>
      </c>
      <c r="H45" s="3" t="s">
        <v>35</v>
      </c>
    </row>
    <row r="46" customFormat="false" ht="22.35" hidden="false" customHeight="false" outlineLevel="0" collapsed="false">
      <c r="A46" s="3" t="s">
        <v>153</v>
      </c>
      <c r="B46" s="3" t="s">
        <v>158</v>
      </c>
      <c r="C46" s="3" t="s">
        <v>167</v>
      </c>
      <c r="D46" s="3" t="s">
        <v>168</v>
      </c>
      <c r="E46" s="3" t="s">
        <v>169</v>
      </c>
      <c r="F46" s="4" t="n">
        <v>5</v>
      </c>
      <c r="G46" s="3" t="s">
        <v>64</v>
      </c>
      <c r="H46" s="3" t="s">
        <v>77</v>
      </c>
    </row>
    <row r="47" customFormat="false" ht="22.35" hidden="false" customHeight="false" outlineLevel="0" collapsed="false">
      <c r="A47" s="3" t="s">
        <v>153</v>
      </c>
      <c r="B47" s="3" t="s">
        <v>170</v>
      </c>
      <c r="C47" s="3" t="s">
        <v>171</v>
      </c>
      <c r="D47" s="3" t="s">
        <v>172</v>
      </c>
      <c r="E47" s="3" t="s">
        <v>173</v>
      </c>
      <c r="F47" s="4" t="n">
        <v>5</v>
      </c>
      <c r="G47" s="3" t="s">
        <v>64</v>
      </c>
      <c r="H47" s="3" t="s">
        <v>14</v>
      </c>
    </row>
    <row r="48" customFormat="false" ht="22.35" hidden="false" customHeight="false" outlineLevel="0" collapsed="false">
      <c r="A48" s="3" t="s">
        <v>153</v>
      </c>
      <c r="B48" s="3" t="s">
        <v>174</v>
      </c>
      <c r="C48" s="3" t="s">
        <v>175</v>
      </c>
      <c r="D48" s="3" t="s">
        <v>176</v>
      </c>
      <c r="E48" s="3" t="s">
        <v>177</v>
      </c>
      <c r="F48" s="5" t="n">
        <v>4</v>
      </c>
      <c r="G48" s="3" t="s">
        <v>178</v>
      </c>
      <c r="H48" s="3" t="s">
        <v>14</v>
      </c>
    </row>
    <row r="49" customFormat="false" ht="22.35" hidden="false" customHeight="false" outlineLevel="0" collapsed="false">
      <c r="A49" s="3" t="s">
        <v>153</v>
      </c>
      <c r="B49" s="3" t="s">
        <v>174</v>
      </c>
      <c r="C49" s="3" t="s">
        <v>179</v>
      </c>
      <c r="D49" s="3" t="s">
        <v>180</v>
      </c>
      <c r="E49" s="3" t="s">
        <v>181</v>
      </c>
      <c r="F49" s="6" t="n">
        <v>3</v>
      </c>
      <c r="G49" s="3" t="s">
        <v>26</v>
      </c>
      <c r="H49" s="3" t="s">
        <v>19</v>
      </c>
    </row>
    <row r="50" customFormat="false" ht="22.35" hidden="false" customHeight="false" outlineLevel="0" collapsed="false">
      <c r="A50" s="3" t="s">
        <v>153</v>
      </c>
      <c r="B50" s="3" t="s">
        <v>182</v>
      </c>
      <c r="C50" s="3" t="s">
        <v>183</v>
      </c>
      <c r="D50" s="3" t="s">
        <v>184</v>
      </c>
      <c r="E50" s="3" t="s">
        <v>185</v>
      </c>
      <c r="F50" s="4" t="n">
        <v>5</v>
      </c>
      <c r="G50" s="3" t="s">
        <v>42</v>
      </c>
      <c r="H50" s="3" t="s">
        <v>152</v>
      </c>
    </row>
    <row r="51" customFormat="false" ht="22.35" hidden="false" customHeight="false" outlineLevel="0" collapsed="false">
      <c r="A51" s="3" t="s">
        <v>153</v>
      </c>
      <c r="B51" s="3" t="s">
        <v>186</v>
      </c>
      <c r="C51" s="3" t="s">
        <v>187</v>
      </c>
      <c r="D51" s="3" t="s">
        <v>188</v>
      </c>
      <c r="E51" s="3" t="s">
        <v>189</v>
      </c>
      <c r="F51" s="5" t="n">
        <v>4</v>
      </c>
      <c r="G51" s="3" t="s">
        <v>115</v>
      </c>
      <c r="H51" s="3" t="s">
        <v>48</v>
      </c>
    </row>
    <row r="52" customFormat="false" ht="15" hidden="false" customHeight="false" outlineLevel="0" collapsed="false">
      <c r="A52" s="3" t="s">
        <v>153</v>
      </c>
      <c r="B52" s="3" t="s">
        <v>186</v>
      </c>
      <c r="C52" s="3" t="s">
        <v>187</v>
      </c>
      <c r="D52" s="3" t="s">
        <v>190</v>
      </c>
      <c r="E52" s="3" t="s">
        <v>191</v>
      </c>
      <c r="F52" s="3" t="n">
        <v>2</v>
      </c>
      <c r="G52" s="3" t="s">
        <v>141</v>
      </c>
      <c r="H52" s="3" t="s">
        <v>27</v>
      </c>
    </row>
    <row r="53" customFormat="false" ht="22.35" hidden="false" customHeight="false" outlineLevel="0" collapsed="false">
      <c r="A53" s="3" t="s">
        <v>153</v>
      </c>
      <c r="B53" s="3" t="s">
        <v>186</v>
      </c>
      <c r="C53" s="3" t="s">
        <v>192</v>
      </c>
      <c r="D53" s="3" t="s">
        <v>193</v>
      </c>
      <c r="E53" s="3" t="s">
        <v>194</v>
      </c>
      <c r="F53" s="4" t="n">
        <v>5</v>
      </c>
      <c r="G53" s="3" t="s">
        <v>115</v>
      </c>
      <c r="H53" s="3" t="s">
        <v>53</v>
      </c>
    </row>
    <row r="54" customFormat="false" ht="22.35" hidden="false" customHeight="false" outlineLevel="0" collapsed="false">
      <c r="A54" s="3" t="s">
        <v>153</v>
      </c>
      <c r="B54" s="3" t="s">
        <v>186</v>
      </c>
      <c r="C54" s="3" t="s">
        <v>195</v>
      </c>
      <c r="D54" s="3" t="s">
        <v>196</v>
      </c>
      <c r="E54" s="3" t="s">
        <v>197</v>
      </c>
      <c r="F54" s="6" t="n">
        <v>3</v>
      </c>
      <c r="G54" s="3" t="s">
        <v>103</v>
      </c>
      <c r="H54" s="3" t="s">
        <v>19</v>
      </c>
    </row>
    <row r="55" customFormat="false" ht="22.35" hidden="false" customHeight="false" outlineLevel="0" collapsed="false">
      <c r="A55" s="3" t="s">
        <v>153</v>
      </c>
      <c r="B55" s="3" t="s">
        <v>186</v>
      </c>
      <c r="C55" s="3" t="s">
        <v>198</v>
      </c>
      <c r="D55" s="3" t="s">
        <v>199</v>
      </c>
      <c r="E55" s="3" t="s">
        <v>200</v>
      </c>
      <c r="F55" s="6" t="n">
        <v>3</v>
      </c>
      <c r="G55" s="3" t="s">
        <v>26</v>
      </c>
      <c r="H55" s="3" t="s">
        <v>31</v>
      </c>
    </row>
    <row r="56" customFormat="false" ht="22.35" hidden="false" customHeight="false" outlineLevel="0" collapsed="false">
      <c r="A56" s="3" t="s">
        <v>153</v>
      </c>
      <c r="B56" s="3" t="s">
        <v>201</v>
      </c>
      <c r="C56" s="3" t="s">
        <v>202</v>
      </c>
      <c r="D56" s="3" t="s">
        <v>203</v>
      </c>
      <c r="E56" s="3" t="s">
        <v>204</v>
      </c>
      <c r="F56" s="6" t="n">
        <v>3</v>
      </c>
      <c r="G56" s="3" t="s">
        <v>64</v>
      </c>
      <c r="H56" s="3" t="s">
        <v>205</v>
      </c>
    </row>
    <row r="57" customFormat="false" ht="22.35" hidden="false" customHeight="false" outlineLevel="0" collapsed="false">
      <c r="A57" s="3" t="s">
        <v>153</v>
      </c>
      <c r="B57" s="3" t="s">
        <v>201</v>
      </c>
      <c r="C57" s="3" t="s">
        <v>202</v>
      </c>
      <c r="D57" s="3" t="s">
        <v>206</v>
      </c>
      <c r="E57" s="3" t="s">
        <v>207</v>
      </c>
      <c r="F57" s="6" t="n">
        <v>3</v>
      </c>
      <c r="G57" s="3" t="s">
        <v>26</v>
      </c>
      <c r="H57" s="3" t="s">
        <v>57</v>
      </c>
    </row>
    <row r="58" customFormat="false" ht="22.35" hidden="false" customHeight="false" outlineLevel="0" collapsed="false">
      <c r="A58" s="3" t="s">
        <v>153</v>
      </c>
      <c r="B58" s="3" t="s">
        <v>201</v>
      </c>
      <c r="C58" s="3" t="s">
        <v>208</v>
      </c>
      <c r="D58" s="3" t="s">
        <v>209</v>
      </c>
      <c r="E58" s="3" t="s">
        <v>210</v>
      </c>
      <c r="F58" s="5" t="n">
        <v>4</v>
      </c>
      <c r="G58" s="3" t="s">
        <v>115</v>
      </c>
      <c r="H58" s="3" t="s">
        <v>31</v>
      </c>
    </row>
    <row r="59" customFormat="false" ht="22.35" hidden="false" customHeight="false" outlineLevel="0" collapsed="false">
      <c r="A59" s="3" t="s">
        <v>153</v>
      </c>
      <c r="B59" s="3" t="s">
        <v>211</v>
      </c>
      <c r="C59" s="3" t="s">
        <v>212</v>
      </c>
      <c r="D59" s="3" t="s">
        <v>213</v>
      </c>
      <c r="E59" s="3" t="s">
        <v>214</v>
      </c>
      <c r="F59" s="4" t="n">
        <v>5</v>
      </c>
      <c r="G59" s="3" t="s">
        <v>64</v>
      </c>
      <c r="H59" s="3" t="s">
        <v>65</v>
      </c>
    </row>
    <row r="60" customFormat="false" ht="22.35" hidden="false" customHeight="false" outlineLevel="0" collapsed="false">
      <c r="A60" s="3" t="s">
        <v>153</v>
      </c>
      <c r="B60" s="3" t="s">
        <v>211</v>
      </c>
      <c r="C60" s="3" t="s">
        <v>215</v>
      </c>
      <c r="D60" s="3" t="s">
        <v>216</v>
      </c>
      <c r="E60" s="3" t="s">
        <v>217</v>
      </c>
      <c r="F60" s="6" t="n">
        <v>3</v>
      </c>
      <c r="G60" s="3" t="s">
        <v>26</v>
      </c>
      <c r="H60" s="3" t="s">
        <v>19</v>
      </c>
    </row>
    <row r="61" customFormat="false" ht="22.35" hidden="false" customHeight="false" outlineLevel="0" collapsed="false">
      <c r="A61" s="3" t="s">
        <v>153</v>
      </c>
      <c r="B61" s="3" t="s">
        <v>211</v>
      </c>
      <c r="C61" s="3" t="s">
        <v>218</v>
      </c>
      <c r="D61" s="3" t="s">
        <v>219</v>
      </c>
      <c r="E61" s="3" t="s">
        <v>220</v>
      </c>
      <c r="F61" s="5" t="n">
        <v>4</v>
      </c>
      <c r="G61" s="3" t="s">
        <v>99</v>
      </c>
      <c r="H61" s="3" t="s">
        <v>27</v>
      </c>
    </row>
  </sheetData>
  <mergeCells count="3">
    <mergeCell ref="A2:H2"/>
    <mergeCell ref="A22:H22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28"/>
    <col collapsed="false" customWidth="true" hidden="false" outlineLevel="0" max="6" min="4" style="0" width="30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10" min="9" style="0" width="12"/>
    <col collapsed="false" customWidth="true" hidden="false" outlineLevel="0" max="11" min="11" style="0" width="45"/>
    <col collapsed="false" customWidth="true" hidden="false" outlineLevel="0" max="12" min="12" style="0" width="55"/>
  </cols>
  <sheetData>
    <row r="1" customFormat="false" ht="35.05" hidden="false" customHeight="false" outlineLevel="0" collapsed="false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</row>
    <row r="2" customFormat="false" ht="15" hidden="false" customHeight="false" outlineLevel="0" collapsed="false">
      <c r="A2" s="3" t="n">
        <v>1</v>
      </c>
      <c r="B2" s="3" t="s">
        <v>233</v>
      </c>
      <c r="C2" s="3" t="s">
        <v>153</v>
      </c>
      <c r="D2" s="3" t="n">
        <v>5</v>
      </c>
      <c r="E2" s="3" t="n">
        <v>5</v>
      </c>
      <c r="F2" s="3" t="n">
        <v>3</v>
      </c>
      <c r="G2" s="3" t="n">
        <v>5</v>
      </c>
      <c r="H2" s="3" t="n">
        <v>5</v>
      </c>
      <c r="I2" s="3" t="n">
        <v>5</v>
      </c>
      <c r="J2" s="3" t="n">
        <f aca="false">SUM(D2:I2)</f>
        <v>28</v>
      </c>
      <c r="K2" s="3" t="s">
        <v>234</v>
      </c>
      <c r="L2" s="6" t="s">
        <v>235</v>
      </c>
    </row>
    <row r="3" customFormat="false" ht="15" hidden="false" customHeight="false" outlineLevel="0" collapsed="false">
      <c r="A3" s="3" t="n">
        <v>2</v>
      </c>
      <c r="B3" s="3" t="s">
        <v>236</v>
      </c>
      <c r="C3" s="3" t="s">
        <v>8</v>
      </c>
      <c r="D3" s="3" t="n">
        <v>5</v>
      </c>
      <c r="E3" s="3" t="n">
        <v>5</v>
      </c>
      <c r="F3" s="3" t="n">
        <v>1</v>
      </c>
      <c r="G3" s="3" t="n">
        <v>4</v>
      </c>
      <c r="H3" s="3" t="n">
        <v>5</v>
      </c>
      <c r="I3" s="3" t="n">
        <v>5</v>
      </c>
      <c r="J3" s="3" t="n">
        <f aca="false">SUM(D3:I3)</f>
        <v>25</v>
      </c>
      <c r="K3" s="3" t="s">
        <v>237</v>
      </c>
      <c r="L3" s="7" t="s">
        <v>238</v>
      </c>
    </row>
    <row r="4" customFormat="false" ht="15" hidden="false" customHeight="false" outlineLevel="0" collapsed="false">
      <c r="A4" s="3" t="n">
        <v>3</v>
      </c>
      <c r="B4" s="3" t="s">
        <v>107</v>
      </c>
      <c r="C4" s="3" t="s">
        <v>90</v>
      </c>
      <c r="D4" s="3" t="n">
        <v>5</v>
      </c>
      <c r="E4" s="3" t="n">
        <v>5</v>
      </c>
      <c r="F4" s="3" t="n">
        <v>1</v>
      </c>
      <c r="G4" s="3" t="n">
        <v>4</v>
      </c>
      <c r="H4" s="3" t="n">
        <v>5</v>
      </c>
      <c r="I4" s="3" t="n">
        <v>5</v>
      </c>
      <c r="J4" s="3" t="n">
        <f aca="false">SUM(D4:I4)</f>
        <v>25</v>
      </c>
      <c r="K4" s="3" t="s">
        <v>239</v>
      </c>
      <c r="L4" s="8" t="s">
        <v>240</v>
      </c>
    </row>
    <row r="5" customFormat="false" ht="15" hidden="false" customHeight="false" outlineLevel="0" collapsed="false">
      <c r="A5" s="3" t="n">
        <v>4</v>
      </c>
      <c r="B5" s="3" t="s">
        <v>241</v>
      </c>
      <c r="C5" s="3" t="s">
        <v>242</v>
      </c>
      <c r="D5" s="3" t="n">
        <v>5</v>
      </c>
      <c r="E5" s="3" t="n">
        <v>4</v>
      </c>
      <c r="F5" s="3" t="n">
        <v>4</v>
      </c>
      <c r="G5" s="3" t="n">
        <v>5</v>
      </c>
      <c r="H5" s="3" t="n">
        <v>5</v>
      </c>
      <c r="I5" s="3" t="n">
        <v>4</v>
      </c>
      <c r="J5" s="3" t="n">
        <f aca="false">SUM(D5:I5)</f>
        <v>27</v>
      </c>
      <c r="K5" s="3" t="s">
        <v>243</v>
      </c>
      <c r="L5" s="7" t="s">
        <v>244</v>
      </c>
    </row>
    <row r="6" customFormat="false" ht="22.35" hidden="false" customHeight="false" outlineLevel="0" collapsed="false">
      <c r="A6" s="3" t="n">
        <v>5</v>
      </c>
      <c r="B6" s="3" t="s">
        <v>245</v>
      </c>
      <c r="C6" s="3" t="s">
        <v>246</v>
      </c>
      <c r="D6" s="3" t="n">
        <v>5</v>
      </c>
      <c r="E6" s="3" t="n">
        <v>4</v>
      </c>
      <c r="F6" s="3" t="n">
        <v>5</v>
      </c>
      <c r="G6" s="3" t="n">
        <v>4</v>
      </c>
      <c r="H6" s="3" t="n">
        <v>4</v>
      </c>
      <c r="I6" s="3" t="n">
        <v>4</v>
      </c>
      <c r="J6" s="3" t="n">
        <f aca="false">SUM(D6:I6)</f>
        <v>26</v>
      </c>
      <c r="K6" s="3" t="s">
        <v>247</v>
      </c>
      <c r="L6" s="6" t="s">
        <v>248</v>
      </c>
    </row>
    <row r="7" customFormat="false" ht="15" hidden="false" customHeight="false" outlineLevel="0" collapsed="false">
      <c r="A7" s="3" t="n">
        <v>6</v>
      </c>
      <c r="B7" s="3" t="s">
        <v>249</v>
      </c>
      <c r="C7" s="3" t="s">
        <v>90</v>
      </c>
      <c r="D7" s="3" t="n">
        <v>5</v>
      </c>
      <c r="E7" s="3" t="n">
        <v>3</v>
      </c>
      <c r="F7" s="3" t="n">
        <v>1</v>
      </c>
      <c r="G7" s="3" t="n">
        <v>4</v>
      </c>
      <c r="H7" s="3" t="n">
        <v>5</v>
      </c>
      <c r="I7" s="3" t="n">
        <v>5</v>
      </c>
      <c r="J7" s="3" t="n">
        <f aca="false">SUM(D7:I7)</f>
        <v>23</v>
      </c>
      <c r="K7" s="3" t="s">
        <v>250</v>
      </c>
      <c r="L7" s="8" t="s">
        <v>251</v>
      </c>
    </row>
    <row r="8" customFormat="false" ht="15" hidden="false" customHeight="false" outlineLevel="0" collapsed="false">
      <c r="A8" s="3" t="n">
        <v>7</v>
      </c>
      <c r="B8" s="3" t="s">
        <v>252</v>
      </c>
      <c r="C8" s="3" t="s">
        <v>90</v>
      </c>
      <c r="D8" s="3" t="n">
        <v>5</v>
      </c>
      <c r="E8" s="3" t="n">
        <v>3</v>
      </c>
      <c r="F8" s="3" t="n">
        <v>3</v>
      </c>
      <c r="G8" s="3" t="n">
        <v>4</v>
      </c>
      <c r="H8" s="3" t="n">
        <v>5</v>
      </c>
      <c r="I8" s="3" t="n">
        <v>4</v>
      </c>
      <c r="J8" s="3" t="n">
        <f aca="false">SUM(D8:I8)</f>
        <v>24</v>
      </c>
      <c r="K8" s="3" t="s">
        <v>253</v>
      </c>
      <c r="L8" s="6" t="s">
        <v>254</v>
      </c>
    </row>
    <row r="9" customFormat="false" ht="15" hidden="false" customHeight="false" outlineLevel="0" collapsed="false">
      <c r="A9" s="3" t="n">
        <v>8</v>
      </c>
      <c r="B9" s="3" t="s">
        <v>255</v>
      </c>
      <c r="C9" s="3" t="s">
        <v>256</v>
      </c>
      <c r="D9" s="3" t="n">
        <v>5</v>
      </c>
      <c r="E9" s="3" t="n">
        <v>3</v>
      </c>
      <c r="F9" s="3" t="n">
        <v>3</v>
      </c>
      <c r="G9" s="3" t="n">
        <v>5</v>
      </c>
      <c r="H9" s="3" t="n">
        <v>5</v>
      </c>
      <c r="I9" s="3" t="n">
        <v>4</v>
      </c>
      <c r="J9" s="3" t="n">
        <f aca="false">SUM(D9:I9)</f>
        <v>25</v>
      </c>
      <c r="K9" s="3" t="s">
        <v>257</v>
      </c>
      <c r="L9" s="6" t="s">
        <v>258</v>
      </c>
    </row>
    <row r="10" customFormat="false" ht="22.35" hidden="false" customHeight="false" outlineLevel="0" collapsed="false">
      <c r="A10" s="3" t="n">
        <v>9</v>
      </c>
      <c r="B10" s="3" t="s">
        <v>259</v>
      </c>
      <c r="C10" s="3" t="s">
        <v>256</v>
      </c>
      <c r="D10" s="3" t="n">
        <v>5</v>
      </c>
      <c r="E10" s="3" t="n">
        <v>3</v>
      </c>
      <c r="F10" s="3" t="n">
        <v>4</v>
      </c>
      <c r="G10" s="3" t="n">
        <v>5</v>
      </c>
      <c r="H10" s="3" t="n">
        <v>5</v>
      </c>
      <c r="I10" s="3" t="n">
        <v>4</v>
      </c>
      <c r="J10" s="3" t="n">
        <f aca="false">SUM(D10:I10)</f>
        <v>26</v>
      </c>
      <c r="K10" s="3" t="s">
        <v>260</v>
      </c>
      <c r="L10" s="7" t="s">
        <v>261</v>
      </c>
    </row>
    <row r="11" customFormat="false" ht="22.35" hidden="false" customHeight="false" outlineLevel="0" collapsed="false">
      <c r="A11" s="3" t="n">
        <v>10</v>
      </c>
      <c r="B11" s="3" t="s">
        <v>262</v>
      </c>
      <c r="C11" s="3" t="s">
        <v>8</v>
      </c>
      <c r="D11" s="3" t="n">
        <v>4</v>
      </c>
      <c r="E11" s="3" t="n">
        <v>4</v>
      </c>
      <c r="F11" s="3" t="n">
        <v>5</v>
      </c>
      <c r="G11" s="3" t="n">
        <v>4</v>
      </c>
      <c r="H11" s="3" t="n">
        <v>4</v>
      </c>
      <c r="I11" s="3" t="n">
        <v>3</v>
      </c>
      <c r="J11" s="3" t="n">
        <f aca="false">SUM(D11:I11)</f>
        <v>24</v>
      </c>
      <c r="K11" s="3" t="s">
        <v>263</v>
      </c>
      <c r="L11" s="7" t="s">
        <v>264</v>
      </c>
    </row>
    <row r="12" customFormat="false" ht="15" hidden="false" customHeight="false" outlineLevel="0" collapsed="false">
      <c r="A12" s="3" t="n">
        <v>11</v>
      </c>
      <c r="B12" s="3" t="s">
        <v>265</v>
      </c>
      <c r="C12" s="3" t="s">
        <v>266</v>
      </c>
      <c r="D12" s="3" t="n">
        <v>4</v>
      </c>
      <c r="E12" s="3" t="n">
        <v>3</v>
      </c>
      <c r="F12" s="3" t="n">
        <v>2</v>
      </c>
      <c r="G12" s="3" t="n">
        <v>4</v>
      </c>
      <c r="H12" s="3" t="n">
        <v>5</v>
      </c>
      <c r="I12" s="3" t="n">
        <v>4</v>
      </c>
      <c r="J12" s="3" t="n">
        <f aca="false">SUM(D12:I12)</f>
        <v>22</v>
      </c>
      <c r="K12" s="3" t="s">
        <v>267</v>
      </c>
      <c r="L12" s="6" t="s">
        <v>268</v>
      </c>
    </row>
    <row r="13" customFormat="false" ht="15" hidden="false" customHeight="false" outlineLevel="0" collapsed="false">
      <c r="A13" s="3" t="n">
        <v>12</v>
      </c>
      <c r="B13" s="3" t="s">
        <v>269</v>
      </c>
      <c r="C13" s="3" t="s">
        <v>8</v>
      </c>
      <c r="D13" s="3" t="n">
        <v>5</v>
      </c>
      <c r="E13" s="3" t="n">
        <v>5</v>
      </c>
      <c r="F13" s="3" t="n">
        <v>1</v>
      </c>
      <c r="G13" s="3" t="n">
        <v>5</v>
      </c>
      <c r="H13" s="3" t="n">
        <v>5</v>
      </c>
      <c r="I13" s="3" t="n">
        <v>5</v>
      </c>
      <c r="J13" s="3" t="n">
        <f aca="false">SUM(D13:I13)</f>
        <v>26</v>
      </c>
      <c r="K13" s="3" t="s">
        <v>270</v>
      </c>
      <c r="L13" s="7" t="s">
        <v>271</v>
      </c>
    </row>
    <row r="14" customFormat="false" ht="15" hidden="false" customHeight="false" outlineLevel="0" collapsed="false">
      <c r="A14" s="3" t="n">
        <v>13</v>
      </c>
      <c r="B14" s="3" t="s">
        <v>272</v>
      </c>
      <c r="C14" s="3" t="s">
        <v>8</v>
      </c>
      <c r="D14" s="3" t="n">
        <v>4</v>
      </c>
      <c r="E14" s="3" t="n">
        <v>3</v>
      </c>
      <c r="F14" s="3" t="n">
        <v>1</v>
      </c>
      <c r="G14" s="3" t="n">
        <v>4</v>
      </c>
      <c r="H14" s="3" t="n">
        <v>4</v>
      </c>
      <c r="I14" s="3" t="n">
        <v>4</v>
      </c>
      <c r="J14" s="3" t="n">
        <f aca="false">SUM(D14:I14)</f>
        <v>20</v>
      </c>
      <c r="K14" s="3" t="s">
        <v>273</v>
      </c>
      <c r="L14" s="6" t="s">
        <v>274</v>
      </c>
    </row>
    <row r="15" customFormat="false" ht="15" hidden="false" customHeight="false" outlineLevel="0" collapsed="false">
      <c r="A15" s="3" t="n">
        <v>14</v>
      </c>
      <c r="B15" s="3" t="s">
        <v>275</v>
      </c>
      <c r="C15" s="3" t="s">
        <v>90</v>
      </c>
      <c r="D15" s="3" t="n">
        <v>4</v>
      </c>
      <c r="E15" s="3" t="n">
        <v>2</v>
      </c>
      <c r="F15" s="3" t="n">
        <v>3</v>
      </c>
      <c r="G15" s="3" t="n">
        <v>3</v>
      </c>
      <c r="H15" s="3" t="n">
        <v>5</v>
      </c>
      <c r="I15" s="3" t="n">
        <v>3</v>
      </c>
      <c r="J15" s="3" t="n">
        <f aca="false">SUM(D15:I15)</f>
        <v>20</v>
      </c>
      <c r="K15" s="3" t="s">
        <v>276</v>
      </c>
      <c r="L15" s="6" t="s">
        <v>277</v>
      </c>
    </row>
    <row r="16" customFormat="false" ht="22.35" hidden="false" customHeight="false" outlineLevel="0" collapsed="false">
      <c r="A16" s="3" t="n">
        <v>15</v>
      </c>
      <c r="B16" s="3" t="s">
        <v>278</v>
      </c>
      <c r="C16" s="3" t="s">
        <v>153</v>
      </c>
      <c r="D16" s="3" t="n">
        <v>5</v>
      </c>
      <c r="E16" s="3" t="n">
        <v>5</v>
      </c>
      <c r="F16" s="3" t="n">
        <v>4</v>
      </c>
      <c r="G16" s="3" t="n">
        <v>5</v>
      </c>
      <c r="H16" s="3" t="n">
        <v>4</v>
      </c>
      <c r="I16" s="3" t="n">
        <v>5</v>
      </c>
      <c r="J16" s="3" t="n">
        <f aca="false">SUM(D16:I16)</f>
        <v>28</v>
      </c>
      <c r="K16" s="3" t="s">
        <v>279</v>
      </c>
      <c r="L16" s="7" t="s">
        <v>280</v>
      </c>
    </row>
    <row r="17" customFormat="false" ht="15" hidden="false" customHeight="false" outlineLevel="0" collapsed="false">
      <c r="A17" s="3" t="n">
        <v>16</v>
      </c>
      <c r="B17" s="3" t="s">
        <v>281</v>
      </c>
      <c r="C17" s="3" t="s">
        <v>90</v>
      </c>
      <c r="D17" s="3" t="n">
        <v>5</v>
      </c>
      <c r="E17" s="3" t="n">
        <v>3</v>
      </c>
      <c r="F17" s="3" t="n">
        <v>2</v>
      </c>
      <c r="G17" s="3" t="n">
        <v>4</v>
      </c>
      <c r="H17" s="3" t="n">
        <v>5</v>
      </c>
      <c r="I17" s="3" t="n">
        <v>4</v>
      </c>
      <c r="J17" s="3" t="n">
        <f aca="false">SUM(D17:I17)</f>
        <v>23</v>
      </c>
      <c r="K17" s="3" t="s">
        <v>282</v>
      </c>
      <c r="L17" s="7" t="s">
        <v>283</v>
      </c>
    </row>
    <row r="18" customFormat="false" ht="22.35" hidden="false" customHeight="false" outlineLevel="0" collapsed="false">
      <c r="A18" s="3" t="n">
        <v>17</v>
      </c>
      <c r="B18" s="3" t="s">
        <v>284</v>
      </c>
      <c r="C18" s="3" t="s">
        <v>90</v>
      </c>
      <c r="D18" s="3" t="n">
        <v>4</v>
      </c>
      <c r="E18" s="3" t="n">
        <v>5</v>
      </c>
      <c r="F18" s="3" t="n">
        <v>1</v>
      </c>
      <c r="G18" s="3" t="n">
        <v>3</v>
      </c>
      <c r="H18" s="3" t="n">
        <v>5</v>
      </c>
      <c r="I18" s="3" t="n">
        <v>5</v>
      </c>
      <c r="J18" s="3" t="n">
        <f aca="false">SUM(D18:I18)</f>
        <v>23</v>
      </c>
      <c r="K18" s="3" t="s">
        <v>285</v>
      </c>
      <c r="L18" s="7" t="s">
        <v>286</v>
      </c>
    </row>
    <row r="19" customFormat="false" ht="22.35" hidden="false" customHeight="false" outlineLevel="0" collapsed="false">
      <c r="A19" s="3" t="n">
        <v>18</v>
      </c>
      <c r="B19" s="3" t="s">
        <v>287</v>
      </c>
      <c r="C19" s="3" t="s">
        <v>153</v>
      </c>
      <c r="D19" s="3" t="n">
        <v>4</v>
      </c>
      <c r="E19" s="3" t="n">
        <v>3</v>
      </c>
      <c r="F19" s="3" t="n">
        <v>2</v>
      </c>
      <c r="G19" s="3" t="n">
        <v>4</v>
      </c>
      <c r="H19" s="3" t="n">
        <v>4</v>
      </c>
      <c r="I19" s="3" t="n">
        <v>4</v>
      </c>
      <c r="J19" s="3" t="n">
        <f aca="false">SUM(D19:I19)</f>
        <v>21</v>
      </c>
      <c r="K19" s="3" t="s">
        <v>288</v>
      </c>
      <c r="L19" s="6" t="s">
        <v>289</v>
      </c>
    </row>
    <row r="20" customFormat="false" ht="15" hidden="false" customHeight="false" outlineLevel="0" collapsed="false">
      <c r="A20" s="3" t="n">
        <v>19</v>
      </c>
      <c r="B20" s="3" t="s">
        <v>290</v>
      </c>
      <c r="C20" s="3" t="s">
        <v>8</v>
      </c>
      <c r="D20" s="3" t="n">
        <v>4</v>
      </c>
      <c r="E20" s="3" t="n">
        <v>3</v>
      </c>
      <c r="F20" s="3" t="n">
        <v>1</v>
      </c>
      <c r="G20" s="3" t="n">
        <v>3</v>
      </c>
      <c r="H20" s="3" t="n">
        <v>4</v>
      </c>
      <c r="I20" s="3" t="n">
        <v>4</v>
      </c>
      <c r="J20" s="3" t="n">
        <f aca="false">SUM(D20:I20)</f>
        <v>19</v>
      </c>
      <c r="K20" s="3" t="s">
        <v>291</v>
      </c>
      <c r="L20" s="6" t="s">
        <v>292</v>
      </c>
    </row>
    <row r="21" customFormat="false" ht="15" hidden="false" customHeight="false" outlineLevel="0" collapsed="false">
      <c r="A21" s="3" t="n">
        <v>20</v>
      </c>
      <c r="B21" s="3" t="s">
        <v>293</v>
      </c>
      <c r="C21" s="3" t="s">
        <v>266</v>
      </c>
      <c r="D21" s="3" t="n">
        <v>4</v>
      </c>
      <c r="E21" s="3" t="n">
        <v>2</v>
      </c>
      <c r="F21" s="3" t="n">
        <v>2</v>
      </c>
      <c r="G21" s="3" t="n">
        <v>3</v>
      </c>
      <c r="H21" s="3" t="n">
        <v>4</v>
      </c>
      <c r="I21" s="3" t="n">
        <v>3</v>
      </c>
      <c r="J21" s="3" t="n">
        <f aca="false">SUM(D21:I21)</f>
        <v>18</v>
      </c>
      <c r="K21" s="3" t="s">
        <v>294</v>
      </c>
      <c r="L21" s="6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20"/>
    <col collapsed="false" customWidth="true" hidden="false" outlineLevel="0" max="7" min="7" style="0" width="55"/>
    <col collapsed="false" customWidth="true" hidden="false" outlineLevel="0" max="8" min="8" style="0" width="50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1" t="s">
        <v>296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</row>
    <row r="2" customFormat="false" ht="15" hidden="false" customHeight="false" outlineLevel="0" collapsed="false">
      <c r="A2" s="2" t="s">
        <v>305</v>
      </c>
      <c r="B2" s="2"/>
      <c r="C2" s="2"/>
      <c r="D2" s="2"/>
      <c r="E2" s="2"/>
      <c r="F2" s="2"/>
      <c r="G2" s="2"/>
      <c r="H2" s="2"/>
      <c r="I2" s="2"/>
    </row>
    <row r="3" customFormat="false" ht="22.35" hidden="false" customHeight="false" outlineLevel="0" collapsed="false">
      <c r="A3" s="3" t="s">
        <v>306</v>
      </c>
      <c r="B3" s="3" t="s">
        <v>307</v>
      </c>
      <c r="C3" s="3" t="s">
        <v>308</v>
      </c>
      <c r="D3" s="3" t="s">
        <v>242</v>
      </c>
      <c r="E3" s="3" t="s">
        <v>309</v>
      </c>
      <c r="F3" s="7" t="s">
        <v>310</v>
      </c>
      <c r="G3" s="3" t="s">
        <v>311</v>
      </c>
      <c r="H3" s="3" t="s">
        <v>312</v>
      </c>
      <c r="I3" s="3" t="n">
        <v>4</v>
      </c>
    </row>
    <row r="4" customFormat="false" ht="22.35" hidden="false" customHeight="false" outlineLevel="0" collapsed="false">
      <c r="A4" s="3" t="s">
        <v>313</v>
      </c>
      <c r="B4" s="3" t="s">
        <v>314</v>
      </c>
      <c r="C4" s="3" t="s">
        <v>315</v>
      </c>
      <c r="D4" s="3" t="s">
        <v>153</v>
      </c>
      <c r="E4" s="3" t="s">
        <v>316</v>
      </c>
      <c r="F4" s="7" t="s">
        <v>310</v>
      </c>
      <c r="G4" s="3" t="s">
        <v>317</v>
      </c>
      <c r="H4" s="3" t="s">
        <v>318</v>
      </c>
      <c r="I4" s="3" t="n">
        <v>4</v>
      </c>
    </row>
    <row r="5" customFormat="false" ht="22.35" hidden="false" customHeight="false" outlineLevel="0" collapsed="false">
      <c r="A5" s="3" t="s">
        <v>319</v>
      </c>
      <c r="B5" s="3" t="s">
        <v>320</v>
      </c>
      <c r="C5" s="3" t="s">
        <v>321</v>
      </c>
      <c r="D5" s="3" t="s">
        <v>90</v>
      </c>
      <c r="E5" s="3" t="s">
        <v>322</v>
      </c>
      <c r="F5" s="7" t="s">
        <v>310</v>
      </c>
      <c r="G5" s="3" t="s">
        <v>323</v>
      </c>
      <c r="H5" s="3" t="s">
        <v>324</v>
      </c>
      <c r="I5" s="3" t="n">
        <v>4</v>
      </c>
    </row>
    <row r="6" customFormat="false" ht="22.35" hidden="false" customHeight="false" outlineLevel="0" collapsed="false">
      <c r="A6" s="3" t="s">
        <v>325</v>
      </c>
      <c r="B6" s="3" t="s">
        <v>326</v>
      </c>
      <c r="C6" s="3" t="s">
        <v>327</v>
      </c>
      <c r="D6" s="3" t="s">
        <v>8</v>
      </c>
      <c r="E6" s="3" t="s">
        <v>328</v>
      </c>
      <c r="F6" s="7" t="s">
        <v>310</v>
      </c>
      <c r="G6" s="3" t="s">
        <v>329</v>
      </c>
      <c r="H6" s="3" t="s">
        <v>330</v>
      </c>
      <c r="I6" s="3" t="n">
        <v>3</v>
      </c>
    </row>
    <row r="7" customFormat="false" ht="22.35" hidden="false" customHeight="false" outlineLevel="0" collapsed="false">
      <c r="A7" s="3" t="s">
        <v>331</v>
      </c>
      <c r="B7" s="3" t="s">
        <v>332</v>
      </c>
      <c r="C7" s="3" t="s">
        <v>333</v>
      </c>
      <c r="D7" s="3" t="s">
        <v>266</v>
      </c>
      <c r="E7" s="3" t="s">
        <v>334</v>
      </c>
      <c r="F7" s="7" t="s">
        <v>310</v>
      </c>
      <c r="G7" s="3" t="s">
        <v>335</v>
      </c>
      <c r="H7" s="3" t="s">
        <v>336</v>
      </c>
      <c r="I7" s="3" t="n">
        <v>3</v>
      </c>
    </row>
    <row r="8" customFormat="false" ht="22.35" hidden="false" customHeight="false" outlineLevel="0" collapsed="false">
      <c r="A8" s="3" t="s">
        <v>337</v>
      </c>
      <c r="B8" s="3" t="s">
        <v>338</v>
      </c>
      <c r="C8" s="3" t="s">
        <v>315</v>
      </c>
      <c r="D8" s="3" t="s">
        <v>153</v>
      </c>
      <c r="E8" s="3" t="s">
        <v>339</v>
      </c>
      <c r="F8" s="6" t="s">
        <v>340</v>
      </c>
      <c r="G8" s="3" t="s">
        <v>341</v>
      </c>
      <c r="H8" s="3" t="s">
        <v>342</v>
      </c>
      <c r="I8" s="3" t="n">
        <v>4</v>
      </c>
    </row>
    <row r="9" customFormat="false" ht="22.35" hidden="false" customHeight="false" outlineLevel="0" collapsed="false">
      <c r="A9" s="3" t="s">
        <v>343</v>
      </c>
      <c r="B9" s="3" t="s">
        <v>344</v>
      </c>
      <c r="C9" s="3" t="s">
        <v>345</v>
      </c>
      <c r="D9" s="3" t="s">
        <v>266</v>
      </c>
      <c r="E9" s="3" t="s">
        <v>346</v>
      </c>
      <c r="F9" s="7" t="s">
        <v>310</v>
      </c>
      <c r="G9" s="3" t="s">
        <v>347</v>
      </c>
      <c r="H9" s="3" t="s">
        <v>348</v>
      </c>
      <c r="I9" s="3" t="n">
        <v>3</v>
      </c>
    </row>
    <row r="10" customFormat="false" ht="22.35" hidden="false" customHeight="false" outlineLevel="0" collapsed="false">
      <c r="A10" s="3" t="s">
        <v>349</v>
      </c>
      <c r="B10" s="3" t="s">
        <v>350</v>
      </c>
      <c r="C10" s="3" t="s">
        <v>351</v>
      </c>
      <c r="D10" s="3" t="s">
        <v>266</v>
      </c>
      <c r="E10" s="3" t="s">
        <v>352</v>
      </c>
      <c r="F10" s="7" t="s">
        <v>310</v>
      </c>
      <c r="G10" s="3" t="s">
        <v>353</v>
      </c>
      <c r="H10" s="3" t="s">
        <v>354</v>
      </c>
      <c r="I10" s="3" t="n">
        <v>3</v>
      </c>
    </row>
    <row r="11" customFormat="false" ht="15" hidden="false" customHeight="false" outlineLevel="0" collapsed="false">
      <c r="A11" s="2" t="s">
        <v>355</v>
      </c>
      <c r="B11" s="2"/>
      <c r="C11" s="2"/>
      <c r="D11" s="2"/>
      <c r="E11" s="2"/>
      <c r="F11" s="2"/>
      <c r="G11" s="2"/>
      <c r="H11" s="2"/>
      <c r="I11" s="2"/>
    </row>
    <row r="12" customFormat="false" ht="22.35" hidden="false" customHeight="false" outlineLevel="0" collapsed="false">
      <c r="A12" s="3" t="s">
        <v>356</v>
      </c>
      <c r="B12" s="3" t="s">
        <v>357</v>
      </c>
      <c r="C12" s="3" t="s">
        <v>358</v>
      </c>
      <c r="D12" s="3" t="s">
        <v>246</v>
      </c>
      <c r="E12" s="3" t="s">
        <v>359</v>
      </c>
      <c r="F12" s="6" t="s">
        <v>340</v>
      </c>
      <c r="G12" s="3" t="s">
        <v>360</v>
      </c>
      <c r="H12" s="3" t="s">
        <v>361</v>
      </c>
      <c r="I12" s="3" t="n">
        <v>4</v>
      </c>
    </row>
    <row r="13" customFormat="false" ht="22.35" hidden="false" customHeight="false" outlineLevel="0" collapsed="false">
      <c r="A13" s="3" t="s">
        <v>362</v>
      </c>
      <c r="B13" s="3" t="s">
        <v>363</v>
      </c>
      <c r="C13" s="3" t="s">
        <v>364</v>
      </c>
      <c r="D13" s="3" t="s">
        <v>365</v>
      </c>
      <c r="E13" s="3" t="s">
        <v>366</v>
      </c>
      <c r="F13" s="6" t="s">
        <v>340</v>
      </c>
      <c r="G13" s="3" t="s">
        <v>367</v>
      </c>
      <c r="H13" s="3" t="s">
        <v>368</v>
      </c>
      <c r="I13" s="3" t="n">
        <v>3</v>
      </c>
    </row>
    <row r="14" customFormat="false" ht="22.35" hidden="false" customHeight="false" outlineLevel="0" collapsed="false">
      <c r="A14" s="3" t="s">
        <v>369</v>
      </c>
      <c r="B14" s="3" t="s">
        <v>370</v>
      </c>
      <c r="C14" s="3" t="s">
        <v>333</v>
      </c>
      <c r="D14" s="3" t="s">
        <v>8</v>
      </c>
      <c r="E14" s="3" t="s">
        <v>371</v>
      </c>
      <c r="F14" s="6" t="s">
        <v>340</v>
      </c>
      <c r="G14" s="3" t="s">
        <v>372</v>
      </c>
      <c r="H14" s="3" t="s">
        <v>373</v>
      </c>
      <c r="I14" s="3" t="n">
        <v>3</v>
      </c>
    </row>
    <row r="15" customFormat="false" ht="15" hidden="false" customHeight="false" outlineLevel="0" collapsed="false">
      <c r="A15" s="3" t="s">
        <v>374</v>
      </c>
      <c r="B15" s="3" t="s">
        <v>375</v>
      </c>
      <c r="C15" s="3" t="s">
        <v>376</v>
      </c>
      <c r="D15" s="3" t="s">
        <v>90</v>
      </c>
      <c r="E15" s="3" t="s">
        <v>377</v>
      </c>
      <c r="F15" s="6" t="s">
        <v>340</v>
      </c>
      <c r="G15" s="3" t="s">
        <v>378</v>
      </c>
      <c r="H15" s="3" t="s">
        <v>379</v>
      </c>
      <c r="I15" s="3" t="n">
        <v>3</v>
      </c>
    </row>
    <row r="16" customFormat="false" ht="22.35" hidden="false" customHeight="false" outlineLevel="0" collapsed="false">
      <c r="A16" s="3" t="s">
        <v>380</v>
      </c>
      <c r="B16" s="3" t="s">
        <v>381</v>
      </c>
      <c r="C16" s="3" t="s">
        <v>382</v>
      </c>
      <c r="D16" s="3" t="s">
        <v>246</v>
      </c>
      <c r="E16" s="3" t="s">
        <v>383</v>
      </c>
      <c r="F16" s="6" t="s">
        <v>340</v>
      </c>
      <c r="G16" s="3" t="s">
        <v>384</v>
      </c>
      <c r="H16" s="3" t="s">
        <v>385</v>
      </c>
      <c r="I16" s="3" t="n">
        <v>3</v>
      </c>
    </row>
    <row r="17" customFormat="false" ht="22.35" hidden="false" customHeight="false" outlineLevel="0" collapsed="false">
      <c r="A17" s="3" t="s">
        <v>386</v>
      </c>
      <c r="B17" s="3" t="s">
        <v>387</v>
      </c>
      <c r="C17" s="3" t="s">
        <v>388</v>
      </c>
      <c r="D17" s="3" t="s">
        <v>153</v>
      </c>
      <c r="E17" s="3" t="s">
        <v>389</v>
      </c>
      <c r="F17" s="6" t="s">
        <v>340</v>
      </c>
      <c r="G17" s="3" t="s">
        <v>390</v>
      </c>
      <c r="H17" s="3" t="s">
        <v>391</v>
      </c>
      <c r="I17" s="3" t="n">
        <v>3</v>
      </c>
    </row>
    <row r="18" customFormat="false" ht="22.35" hidden="false" customHeight="false" outlineLevel="0" collapsed="false">
      <c r="A18" s="3" t="s">
        <v>392</v>
      </c>
      <c r="B18" s="3" t="s">
        <v>393</v>
      </c>
      <c r="C18" s="3" t="s">
        <v>394</v>
      </c>
      <c r="D18" s="3" t="s">
        <v>90</v>
      </c>
      <c r="E18" s="3" t="s">
        <v>395</v>
      </c>
      <c r="F18" s="6" t="s">
        <v>340</v>
      </c>
      <c r="G18" s="3" t="s">
        <v>396</v>
      </c>
      <c r="H18" s="3" t="s">
        <v>397</v>
      </c>
      <c r="I18" s="3" t="n">
        <v>2</v>
      </c>
    </row>
    <row r="19" customFormat="false" ht="22.35" hidden="false" customHeight="false" outlineLevel="0" collapsed="false">
      <c r="A19" s="3" t="s">
        <v>398</v>
      </c>
      <c r="B19" s="3" t="s">
        <v>399</v>
      </c>
      <c r="C19" s="3" t="s">
        <v>400</v>
      </c>
      <c r="D19" s="3" t="s">
        <v>256</v>
      </c>
      <c r="E19" s="3" t="s">
        <v>401</v>
      </c>
      <c r="F19" s="6" t="s">
        <v>340</v>
      </c>
      <c r="G19" s="3" t="s">
        <v>402</v>
      </c>
      <c r="H19" s="3" t="s">
        <v>403</v>
      </c>
      <c r="I19" s="3" t="n">
        <v>2</v>
      </c>
    </row>
    <row r="20" customFormat="false" ht="15" hidden="false" customHeight="false" outlineLevel="0" collapsed="false">
      <c r="A20" s="2" t="s">
        <v>404</v>
      </c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3" t="s">
        <v>405</v>
      </c>
      <c r="B21" s="3" t="s">
        <v>406</v>
      </c>
      <c r="C21" s="3" t="s">
        <v>407</v>
      </c>
      <c r="D21" s="3" t="s">
        <v>90</v>
      </c>
      <c r="E21" s="3" t="s">
        <v>408</v>
      </c>
      <c r="F21" s="8" t="s">
        <v>409</v>
      </c>
      <c r="G21" s="3" t="s">
        <v>410</v>
      </c>
      <c r="H21" s="3" t="s">
        <v>411</v>
      </c>
      <c r="I21" s="3" t="n">
        <v>1</v>
      </c>
    </row>
    <row r="22" customFormat="false" ht="15" hidden="false" customHeight="false" outlineLevel="0" collapsed="false">
      <c r="A22" s="3" t="s">
        <v>412</v>
      </c>
      <c r="B22" s="3" t="s">
        <v>413</v>
      </c>
      <c r="C22" s="3" t="s">
        <v>414</v>
      </c>
      <c r="D22" s="3" t="s">
        <v>90</v>
      </c>
      <c r="E22" s="3" t="s">
        <v>415</v>
      </c>
      <c r="F22" s="8" t="s">
        <v>409</v>
      </c>
      <c r="G22" s="3" t="s">
        <v>416</v>
      </c>
      <c r="H22" s="3" t="s">
        <v>417</v>
      </c>
      <c r="I22" s="3" t="n">
        <v>1</v>
      </c>
    </row>
    <row r="23" customFormat="false" ht="22.35" hidden="false" customHeight="false" outlineLevel="0" collapsed="false">
      <c r="A23" s="3" t="s">
        <v>418</v>
      </c>
      <c r="B23" s="3" t="s">
        <v>419</v>
      </c>
      <c r="C23" s="3" t="s">
        <v>420</v>
      </c>
      <c r="D23" s="3" t="s">
        <v>90</v>
      </c>
      <c r="E23" s="3" t="s">
        <v>421</v>
      </c>
      <c r="F23" s="8" t="s">
        <v>409</v>
      </c>
      <c r="G23" s="3" t="s">
        <v>422</v>
      </c>
      <c r="H23" s="3" t="s">
        <v>423</v>
      </c>
      <c r="I23" s="3" t="n">
        <v>1</v>
      </c>
    </row>
    <row r="24" customFormat="false" ht="15" hidden="false" customHeight="false" outlineLevel="0" collapsed="false">
      <c r="A24" s="3" t="s">
        <v>424</v>
      </c>
      <c r="B24" s="3" t="s">
        <v>424</v>
      </c>
      <c r="C24" s="3" t="s">
        <v>425</v>
      </c>
      <c r="D24" s="3" t="s">
        <v>90</v>
      </c>
      <c r="E24" s="3" t="s">
        <v>426</v>
      </c>
      <c r="F24" s="8" t="s">
        <v>409</v>
      </c>
      <c r="G24" s="3" t="s">
        <v>427</v>
      </c>
      <c r="H24" s="3" t="s">
        <v>428</v>
      </c>
      <c r="I24" s="3" t="n">
        <v>1</v>
      </c>
    </row>
  </sheetData>
  <mergeCells count="3">
    <mergeCell ref="A2:I2"/>
    <mergeCell ref="A11:I11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35"/>
    <col collapsed="false" customWidth="true" hidden="false" outlineLevel="0" max="6" min="5" style="0" width="60"/>
  </cols>
  <sheetData>
    <row r="1" customFormat="false" ht="15" hidden="false" customHeight="false" outlineLevel="0" collapsed="false">
      <c r="A1" s="1" t="s">
        <v>429</v>
      </c>
      <c r="B1" s="1" t="s">
        <v>430</v>
      </c>
      <c r="C1" s="1" t="s">
        <v>90</v>
      </c>
      <c r="D1" s="1" t="s">
        <v>431</v>
      </c>
      <c r="E1" s="1" t="s">
        <v>432</v>
      </c>
      <c r="F1" s="1" t="s">
        <v>433</v>
      </c>
    </row>
    <row r="2" customFormat="false" ht="32.8" hidden="false" customHeight="false" outlineLevel="0" collapsed="false">
      <c r="A2" s="3" t="s">
        <v>241</v>
      </c>
      <c r="B2" s="3" t="s">
        <v>434</v>
      </c>
      <c r="C2" s="3" t="s">
        <v>435</v>
      </c>
      <c r="D2" s="3" t="s">
        <v>436</v>
      </c>
      <c r="E2" s="3" t="s">
        <v>437</v>
      </c>
      <c r="F2" s="3" t="s">
        <v>438</v>
      </c>
    </row>
    <row r="3" customFormat="false" ht="22.35" hidden="false" customHeight="false" outlineLevel="0" collapsed="false">
      <c r="A3" s="3" t="s">
        <v>439</v>
      </c>
      <c r="B3" s="3" t="s">
        <v>440</v>
      </c>
      <c r="C3" s="3" t="s">
        <v>441</v>
      </c>
      <c r="D3" s="3" t="s">
        <v>442</v>
      </c>
      <c r="E3" s="3" t="s">
        <v>443</v>
      </c>
      <c r="F3" s="3" t="s">
        <v>444</v>
      </c>
    </row>
    <row r="4" customFormat="false" ht="22.35" hidden="false" customHeight="false" outlineLevel="0" collapsed="false">
      <c r="A4" s="3" t="s">
        <v>445</v>
      </c>
      <c r="B4" s="3" t="s">
        <v>446</v>
      </c>
      <c r="C4" s="3" t="s">
        <v>447</v>
      </c>
      <c r="D4" s="3" t="s">
        <v>448</v>
      </c>
      <c r="E4" s="3" t="s">
        <v>449</v>
      </c>
      <c r="F4" s="3" t="s">
        <v>450</v>
      </c>
    </row>
    <row r="5" customFormat="false" ht="22.35" hidden="false" customHeight="false" outlineLevel="0" collapsed="false">
      <c r="A5" s="3" t="s">
        <v>451</v>
      </c>
      <c r="B5" s="3" t="s">
        <v>452</v>
      </c>
      <c r="C5" s="3" t="s">
        <v>453</v>
      </c>
      <c r="D5" s="3" t="s">
        <v>454</v>
      </c>
      <c r="E5" s="3" t="s">
        <v>455</v>
      </c>
      <c r="F5" s="3" t="s">
        <v>456</v>
      </c>
    </row>
    <row r="6" customFormat="false" ht="22.35" hidden="false" customHeight="false" outlineLevel="0" collapsed="false">
      <c r="A6" s="3" t="s">
        <v>457</v>
      </c>
      <c r="B6" s="3" t="s">
        <v>458</v>
      </c>
      <c r="C6" s="3" t="s">
        <v>459</v>
      </c>
      <c r="D6" s="3" t="s">
        <v>460</v>
      </c>
      <c r="E6" s="3" t="s">
        <v>461</v>
      </c>
      <c r="F6" s="3" t="s">
        <v>462</v>
      </c>
    </row>
    <row r="7" customFormat="false" ht="22.35" hidden="false" customHeight="false" outlineLevel="0" collapsed="false">
      <c r="A7" s="3" t="s">
        <v>463</v>
      </c>
      <c r="B7" s="3" t="s">
        <v>464</v>
      </c>
      <c r="C7" s="3" t="s">
        <v>465</v>
      </c>
      <c r="D7" s="3" t="s">
        <v>466</v>
      </c>
      <c r="E7" s="3" t="s">
        <v>467</v>
      </c>
      <c r="F7" s="3" t="s">
        <v>468</v>
      </c>
    </row>
    <row r="8" customFormat="false" ht="22.35" hidden="false" customHeight="false" outlineLevel="0" collapsed="false">
      <c r="A8" s="3" t="s">
        <v>469</v>
      </c>
      <c r="B8" s="3" t="s">
        <v>470</v>
      </c>
      <c r="C8" s="3" t="s">
        <v>471</v>
      </c>
      <c r="D8" s="3" t="s">
        <v>472</v>
      </c>
      <c r="E8" s="3" t="s">
        <v>473</v>
      </c>
      <c r="F8" s="3" t="s">
        <v>474</v>
      </c>
    </row>
    <row r="9" customFormat="false" ht="22.35" hidden="false" customHeight="false" outlineLevel="0" collapsed="false">
      <c r="A9" s="3" t="s">
        <v>475</v>
      </c>
      <c r="B9" s="3" t="s">
        <v>476</v>
      </c>
      <c r="C9" s="3" t="s">
        <v>477</v>
      </c>
      <c r="D9" s="3" t="s">
        <v>478</v>
      </c>
      <c r="E9" s="3" t="s">
        <v>479</v>
      </c>
      <c r="F9" s="3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65"/>
    <col collapsed="false" customWidth="true" hidden="false" outlineLevel="0" max="6" min="6" style="0" width="55"/>
    <col collapsed="false" customWidth="true" hidden="false" outlineLevel="0" max="8" min="7" style="0" width="50"/>
    <col collapsed="false" customWidth="true" hidden="false" outlineLevel="0" max="9" min="9" style="0" width="45"/>
  </cols>
  <sheetData>
    <row r="1" customFormat="false" ht="15" hidden="false" customHeight="false" outlineLevel="0" collapsed="false">
      <c r="A1" s="1" t="s">
        <v>221</v>
      </c>
      <c r="B1" s="1" t="s">
        <v>481</v>
      </c>
      <c r="C1" s="1" t="s">
        <v>482</v>
      </c>
      <c r="D1" s="1" t="s">
        <v>0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</row>
    <row r="2" customFormat="false" ht="32.8" hidden="false" customHeight="false" outlineLevel="0" collapsed="false">
      <c r="A2" s="3" t="n">
        <v>1</v>
      </c>
      <c r="B2" s="3" t="s">
        <v>488</v>
      </c>
      <c r="C2" s="3" t="s">
        <v>307</v>
      </c>
      <c r="D2" s="3" t="s">
        <v>489</v>
      </c>
      <c r="E2" s="3" t="s">
        <v>490</v>
      </c>
      <c r="F2" s="3" t="s">
        <v>491</v>
      </c>
      <c r="G2" s="3" t="s">
        <v>492</v>
      </c>
      <c r="H2" s="3" t="s">
        <v>493</v>
      </c>
      <c r="I2" s="3" t="s">
        <v>494</v>
      </c>
    </row>
    <row r="3" customFormat="false" ht="32.8" hidden="false" customHeight="false" outlineLevel="0" collapsed="false">
      <c r="A3" s="3" t="n">
        <v>2</v>
      </c>
      <c r="B3" s="3" t="s">
        <v>278</v>
      </c>
      <c r="C3" s="3" t="s">
        <v>314</v>
      </c>
      <c r="D3" s="3" t="s">
        <v>153</v>
      </c>
      <c r="E3" s="3" t="s">
        <v>495</v>
      </c>
      <c r="F3" s="3" t="s">
        <v>496</v>
      </c>
      <c r="G3" s="3" t="s">
        <v>497</v>
      </c>
      <c r="H3" s="3" t="s">
        <v>498</v>
      </c>
      <c r="I3" s="3" t="s">
        <v>499</v>
      </c>
    </row>
    <row r="4" customFormat="false" ht="32.8" hidden="false" customHeight="false" outlineLevel="0" collapsed="false">
      <c r="A4" s="3" t="n">
        <v>3</v>
      </c>
      <c r="B4" s="3" t="s">
        <v>500</v>
      </c>
      <c r="C4" s="3" t="s">
        <v>320</v>
      </c>
      <c r="D4" s="3" t="s">
        <v>90</v>
      </c>
      <c r="E4" s="3" t="s">
        <v>501</v>
      </c>
      <c r="F4" s="3" t="s">
        <v>502</v>
      </c>
      <c r="G4" s="3" t="s">
        <v>503</v>
      </c>
      <c r="H4" s="3" t="s">
        <v>504</v>
      </c>
      <c r="I4" s="3" t="s">
        <v>505</v>
      </c>
    </row>
    <row r="5" customFormat="false" ht="32.8" hidden="false" customHeight="false" outlineLevel="0" collapsed="false">
      <c r="A5" s="3" t="n">
        <v>4</v>
      </c>
      <c r="B5" s="3" t="s">
        <v>506</v>
      </c>
      <c r="C5" s="3" t="s">
        <v>326</v>
      </c>
      <c r="D5" s="3" t="s">
        <v>8</v>
      </c>
      <c r="E5" s="3" t="s">
        <v>507</v>
      </c>
      <c r="F5" s="3" t="s">
        <v>508</v>
      </c>
      <c r="G5" s="3" t="s">
        <v>509</v>
      </c>
      <c r="H5" s="3" t="s">
        <v>510</v>
      </c>
      <c r="I5" s="3" t="s">
        <v>511</v>
      </c>
    </row>
    <row r="6" customFormat="false" ht="32.8" hidden="false" customHeight="false" outlineLevel="0" collapsed="false">
      <c r="A6" s="3" t="n">
        <v>5</v>
      </c>
      <c r="B6" s="3" t="s">
        <v>512</v>
      </c>
      <c r="C6" s="3" t="s">
        <v>513</v>
      </c>
      <c r="D6" s="3" t="s">
        <v>90</v>
      </c>
      <c r="E6" s="3" t="s">
        <v>514</v>
      </c>
      <c r="F6" s="3" t="s">
        <v>515</v>
      </c>
      <c r="G6" s="3" t="s">
        <v>516</v>
      </c>
      <c r="H6" s="3" t="s">
        <v>517</v>
      </c>
      <c r="I6" s="3" t="s">
        <v>518</v>
      </c>
    </row>
    <row r="7" customFormat="false" ht="32.8" hidden="false" customHeight="false" outlineLevel="0" collapsed="false">
      <c r="A7" s="3" t="n">
        <v>6</v>
      </c>
      <c r="B7" s="3" t="s">
        <v>519</v>
      </c>
      <c r="C7" s="3" t="s">
        <v>520</v>
      </c>
      <c r="D7" s="3" t="s">
        <v>8</v>
      </c>
      <c r="E7" s="3" t="s">
        <v>521</v>
      </c>
      <c r="F7" s="3" t="s">
        <v>522</v>
      </c>
      <c r="G7" s="3" t="s">
        <v>523</v>
      </c>
      <c r="H7" s="3" t="s">
        <v>524</v>
      </c>
      <c r="I7" s="3" t="s">
        <v>525</v>
      </c>
    </row>
    <row r="8" customFormat="false" ht="32.8" hidden="false" customHeight="false" outlineLevel="0" collapsed="false">
      <c r="A8" s="3" t="n">
        <v>7</v>
      </c>
      <c r="B8" s="3" t="s">
        <v>526</v>
      </c>
      <c r="C8" s="3" t="s">
        <v>527</v>
      </c>
      <c r="D8" s="3" t="s">
        <v>266</v>
      </c>
      <c r="E8" s="3" t="s">
        <v>528</v>
      </c>
      <c r="F8" s="3" t="s">
        <v>529</v>
      </c>
      <c r="G8" s="3" t="s">
        <v>530</v>
      </c>
      <c r="H8" s="3" t="s">
        <v>531</v>
      </c>
      <c r="I8" s="3" t="s">
        <v>532</v>
      </c>
    </row>
    <row r="9" customFormat="false" ht="32.8" hidden="false" customHeight="false" outlineLevel="0" collapsed="false">
      <c r="A9" s="3" t="n">
        <v>8</v>
      </c>
      <c r="B9" s="3" t="s">
        <v>533</v>
      </c>
      <c r="C9" s="3" t="s">
        <v>534</v>
      </c>
      <c r="D9" s="3" t="s">
        <v>242</v>
      </c>
      <c r="E9" s="3" t="s">
        <v>535</v>
      </c>
      <c r="F9" s="3" t="s">
        <v>536</v>
      </c>
      <c r="G9" s="3" t="s">
        <v>537</v>
      </c>
      <c r="H9" s="3" t="s">
        <v>538</v>
      </c>
      <c r="I9" s="3" t="s">
        <v>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2026-02-25T22:07:38Z</dcterms:created>
  <dc:creator>openpyxl</dc:creator>
  <dc:description/>
  <dc:language>en-US</dc:language>
  <cp:lastModifiedBy/>
  <dcterms:modified xsi:type="dcterms:W3CDTF">2026-02-25T22:07:38Z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