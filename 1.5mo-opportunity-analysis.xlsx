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y Scoring" sheetId="1" state="visible" r:id="rId3"/>
    <sheet name="Trade Plans" sheetId="2" state="visible" r:id="rId4"/>
    <sheet name="Catalyst Calendar" sheetId="3" state="visible" r:id="rId5"/>
    <sheet name="Portfolio Construction" sheetId="4" state="visible" r:id="rId6"/>
    <sheet name="AI Restructuring Plays" sheetId="5" state="visible" r:id="rId7"/>
    <sheet name="Block Playbook Framewor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<sst xmlns="http://schemas.openxmlformats.org/spreadsheetml/2006/main" count="402" uniqueCount="344">
  <si>
    <t xml:space="preserve">Rank</t>
  </si>
  <si>
    <t xml:space="preserve">Ticker</t>
  </si>
  <si>
    <t xml:space="preserve">Company</t>
  </si>
  <si>
    <t xml:space="preserve">Current Price</t>
  </si>
  <si>
    <t xml:space="preserve">Sector</t>
  </si>
  <si>
    <t xml:space="preserve">Catalyst
(Mar-Apr 2026)</t>
  </si>
  <si>
    <t xml:space="preserve">Catalyst
Date/Window</t>
  </si>
  <si>
    <t xml:space="preserve">Catalyst
Clarity (1-5)</t>
  </si>
  <si>
    <t xml:space="preserve">Upside
Potential (1-5)</t>
  </si>
  <si>
    <t xml:space="preserve">Downside
Protection (1-5)</t>
  </si>
  <si>
    <t xml:space="preserve">Liquidity
(1-5)</t>
  </si>
  <si>
    <t xml:space="preserve">Time Fit
(1-5)</t>
  </si>
  <si>
    <t xml:space="preserve">TOTAL
SCORE</t>
  </si>
  <si>
    <t xml:space="preserve">Risk-Adj
Return Est.</t>
  </si>
  <si>
    <t xml:space="preserve">Action</t>
  </si>
  <si>
    <t xml:space="preserve">CLF</t>
  </si>
  <si>
    <t xml:space="preserve">Cleveland-Cliffs</t>
  </si>
  <si>
    <t xml:space="preserve">Steel / Critical Materials</t>
  </si>
  <si>
    <t xml:space="preserve">Q1 price increase of $60/ton flowing through; POSCO definitive agreement; 50% steel tariff protection; GOES monopoly narrative building</t>
  </si>
  <si>
    <t xml:space="preserve">Earnings Apr 17 + POSCO deal H1 2026</t>
  </si>
  <si>
    <t xml:space="preserve">+15-30%</t>
  </si>
  <si>
    <t xml:space="preserve">BUY — Strongest catalyst density in window</t>
  </si>
  <si>
    <t xml:space="preserve">FCX</t>
  </si>
  <si>
    <t xml:space="preserve">Freeport-McMoRan</t>
  </si>
  <si>
    <t xml:space="preserve">Copper</t>
  </si>
  <si>
    <t xml:space="preserve">Section 232 copper tariff decision H1 2026; copper at all-time highs ~$5.65/lb; Grasberg Blocks 2&amp;3 ramp Q2; pre-positioning demand ahead of June 30 tariff deadline</t>
  </si>
  <si>
    <t xml:space="preserve">Tariff decision by Jun 30; Grasberg ramp Q2</t>
  </si>
  <si>
    <t xml:space="preserve">+10-20%</t>
  </si>
  <si>
    <t xml:space="preserve">BUY — Tariff pre-positioning + production ramp</t>
  </si>
  <si>
    <t xml:space="preserve">NEO.TO</t>
  </si>
  <si>
    <t xml:space="preserve">Neo Performance Materials</t>
  </si>
  <si>
    <t xml:space="preserve">Rare Earth / Magnets</t>
  </si>
  <si>
    <t xml:space="preserve">Narva Phase 1A approaching mid-2026 production start; DFARS Jan 2027 deadline forcing defense contractor procurement; China export control Nov 2026 cliff</t>
  </si>
  <si>
    <t xml:space="preserve">Narva updates Q1-Q2; DFARS procurement urgency</t>
  </si>
  <si>
    <t xml:space="preserve">+10-25%</t>
  </si>
  <si>
    <t xml:space="preserve">ACCUMULATE — Catalysts building but partially priced</t>
  </si>
  <si>
    <t xml:space="preserve">QRVO</t>
  </si>
  <si>
    <t xml:space="preserve">Qorvo</t>
  </si>
  <si>
    <t xml:space="preserve">Semiconductors / Defense</t>
  </si>
  <si>
    <t xml:space="preserve">Skyworks merger ($22B) creates catalyst; Q4 FY26 earnings in window; defense HPA segment growing; activist pressure from Starboard</t>
  </si>
  <si>
    <t xml:space="preserve">Q4 earnings ~Apr; Skyworks merger progress</t>
  </si>
  <si>
    <t xml:space="preserve">BUY — Merger + defense = dual catalyst</t>
  </si>
  <si>
    <t xml:space="preserve">MP</t>
  </si>
  <si>
    <t xml:space="preserve">MP Materials</t>
  </si>
  <si>
    <t xml:space="preserve">Rare Earth</t>
  </si>
  <si>
    <t xml:space="preserve">DoD Price Protection Agreement ($110/kg NdPr floor); Northlake TX magnet facility progress; DFARS 2027 deadline driving procurement urgency; record NdPr oxide production</t>
  </si>
  <si>
    <t xml:space="preserve">Earnings Apr 30 (edge of window); DoD contract updates</t>
  </si>
  <si>
    <t xml:space="preserve">+8-15%</t>
  </si>
  <si>
    <t xml:space="preserve">HOLD — Catalysts at edge of window</t>
  </si>
  <si>
    <t xml:space="preserve">IPX</t>
  </si>
  <si>
    <t xml:space="preserve">IperionX</t>
  </si>
  <si>
    <t xml:space="preserve">Titanium / Defense</t>
  </si>
  <si>
    <t xml:space="preserve">DFS due Q2 2026; $99M DoD contract execution; only US titanium powder producer; additional DoD contracts probable</t>
  </si>
  <si>
    <t xml:space="preserve">DFS Q2 2026; contract announcements</t>
  </si>
  <si>
    <t xml:space="preserve">+20-50% (high vol)</t>
  </si>
  <si>
    <t xml:space="preserve">SPECULATIVE BUY — High upside but illiquid/volatile</t>
  </si>
  <si>
    <t xml:space="preserve">COPX</t>
  </si>
  <si>
    <t xml:space="preserve">Global X Copper Miners ETF</t>
  </si>
  <si>
    <t xml:space="preserve">Copper Miners ETF</t>
  </si>
  <si>
    <t xml:space="preserve">Your thesis: 3.3% speculative penetration vs 22.7% silver — tariff + data center + defense demand convergence; ETF rotation into copper miners lagging</t>
  </si>
  <si>
    <t xml:space="preserve">Tariff pre-positioning through Jun 30</t>
  </si>
  <si>
    <t xml:space="preserve">ACCUMULATE — Structural thesis, catalyst timing uncertain</t>
  </si>
  <si>
    <t xml:space="preserve">COHR</t>
  </si>
  <si>
    <t xml:space="preserve">Coherent</t>
  </si>
  <si>
    <t xml:space="preserve">Optical / Photonics</t>
  </si>
  <si>
    <t xml:space="preserve">1.6T transceiver ramp; Q3 FY26 guidance strong ($1.7-1.84B); InP EML structural shortage; AI data center buildout</t>
  </si>
  <si>
    <t xml:space="preserve">Next earnings ~May (outside window)</t>
  </si>
  <si>
    <t xml:space="preserve">+5-12%</t>
  </si>
  <si>
    <t xml:space="preserve">HOLD — Already at ATH; catalysts outside window</t>
  </si>
  <si>
    <t xml:space="preserve">Dimension</t>
  </si>
  <si>
    <t xml:space="preserve">#1 CLF</t>
  </si>
  <si>
    <t xml:space="preserve">#2 FCX</t>
  </si>
  <si>
    <t xml:space="preserve">#3 NEO.TO / QRVO</t>
  </si>
  <si>
    <t xml:space="preserve">$10.66</t>
  </si>
  <si>
    <t xml:space="preserve">$68.08</t>
  </si>
  <si>
    <t xml:space="preserve">NEO: CA$23.10 / QRVO: ~$78</t>
  </si>
  <si>
    <t xml:space="preserve">Entry Strategy</t>
  </si>
  <si>
    <t xml:space="preserve">Buy at market or on any dip below $10.50. Position size: 30-40% of allocation.</t>
  </si>
  <si>
    <t xml:space="preserve">Buy at market. Scale in: 50% now, 50% on any pullback to $64-66. Position size: 25-30%.</t>
  </si>
  <si>
    <t xml:space="preserve">NEO: Buy on TSX at market. QRVO: Buy on confirmed Skyworks progress. 15-20% each.</t>
  </si>
  <si>
    <t xml:space="preserve">Target Price
(6 weeks)</t>
  </si>
  <si>
    <t xml:space="preserve">$13-14 (+22-31%)</t>
  </si>
  <si>
    <t xml:space="preserve">$75-82 (+10-20%)</t>
  </si>
  <si>
    <t xml:space="preserve">NEO: CA$27-29 (+17-25%)
QRVO: $85-94 (+10-20%)</t>
  </si>
  <si>
    <t xml:space="preserve">Stop Loss</t>
  </si>
  <si>
    <t xml:space="preserve">$9.00 (-15.6%). Below Feb lows invalidates setup.</t>
  </si>
  <si>
    <t xml:space="preserve">$60.00 (-11.8%). Below 200-day and key support.</t>
  </si>
  <si>
    <t xml:space="preserve">NEO: CA$19.50 (-15.6%)
QRVO: $68 (-13%)</t>
  </si>
  <si>
    <t xml:space="preserve">Risk/Reward Ratio</t>
  </si>
  <si>
    <t xml:space="preserve">~2:1 upside:downside</t>
  </si>
  <si>
    <t xml:space="preserve">~1.7:1 upside:downside</t>
  </si>
  <si>
    <t xml:space="preserve">NEO: ~1.6:1 / QRVO: ~1.5:1</t>
  </si>
  <si>
    <t xml:space="preserve">Primary Catalyst</t>
  </si>
  <si>
    <t xml:space="preserve">Q1 earnings Apr 17: $60/ton price increase + cost reductions = massive EBITDA beat potential. GOES narrative + POSCO definitive agreement.</t>
  </si>
  <si>
    <t xml:space="preserve">Section 232 copper tariff decision by Jun 30 driving pre-positioning. Grasberg Blocks 2&amp;3 production ramp in Q2. Copper at ATH.</t>
  </si>
  <si>
    <t xml:space="preserve">NEO: Narva construction updates + DFARS procurement urgency.
QRVO: Skyworks merger regulatory progress + Q4 FY26 earnings.</t>
  </si>
  <si>
    <t xml:space="preserve">Secondary Catalyst</t>
  </si>
  <si>
    <t xml:space="preserve">DOE transformer efficiency standards favoring GOES. Data center transformer demand. 50% steel tariffs.</t>
  </si>
  <si>
    <t xml:space="preserve">Data center power demand narrative broadening to copper. Speculative rotation from silver miners (your thesis). Goldman $13K Q1 floor.</t>
  </si>
  <si>
    <t xml:space="preserve">NEO: China export control cliff approaching Nov 2026.
QRVO: Defense HPA segment growth + Starboard activist pressure.</t>
  </si>
  <si>
    <t xml:space="preserve">Key Risk</t>
  </si>
  <si>
    <t xml:space="preserve">Auto sector weakness; leveraged balance sheet; steel cyclicality. Earnings miss on volume could send stock back to $8-9.</t>
  </si>
  <si>
    <t xml:space="preserve">China demand slowdown; tariff decision delay; profit-taking at ATH. Could give back 10-15% on any macro shock.</t>
  </si>
  <si>
    <t xml:space="preserve">NEO: Narva delay + China extends suspension.
QRVO: Merger blocked by regulators; seasonal Q4 weakness.</t>
  </si>
  <si>
    <t xml:space="preserve">Invalidation Trigger</t>
  </si>
  <si>
    <t xml:space="preserve">POSCO deal collapses OR Q1 earnings show no price realization from $60/ton increase.</t>
  </si>
  <si>
    <t xml:space="preserve">Section 232 tariff officially rejected or indefinitely delayed. Copper breaks below $5.00/lb.</t>
  </si>
  <si>
    <t xml:space="preserve">NEO: Narva production start pushed to 2027.
QRVO: Skyworks merger terminated.</t>
  </si>
  <si>
    <t xml:space="preserve">Conviction Level</t>
  </si>
  <si>
    <t xml:space="preserve">HIGH — Multiple overlapping catalysts within window. Asymmetric risk/reward at $10.66.</t>
  </si>
  <si>
    <t xml:space="preserve">HIGH — Structural + tactical alignment. Copper ATH + tariff positioning + production growth.</t>
  </si>
  <si>
    <t xml:space="preserve">MODERATE — Good setups but partially priced or catalyst timing less precise.</t>
  </si>
  <si>
    <t xml:space="preserve">Position Sizing</t>
  </si>
  <si>
    <t xml:space="preserve">30-40% of 1.5-month allocation</t>
  </si>
  <si>
    <t xml:space="preserve">25-30% of allocation</t>
  </si>
  <si>
    <t xml:space="preserve">15-20% each (30-40% combined)</t>
  </si>
  <si>
    <t xml:space="preserve">SOFTWARE "BLOCK PLAYBOOK" TRADES</t>
  </si>
  <si>
    <t xml:space="preserve">#4 WDAY (Highest Conviction)</t>
  </si>
  <si>
    <t xml:space="preserve">#5 PATH (Speculative)</t>
  </si>
  <si>
    <t xml:space="preserve">#6 CRM / ZM (Partial)</t>
  </si>
  <si>
    <t xml:space="preserve">Thesis</t>
  </si>
  <si>
    <t xml:space="preserve">Most bloated large-cap software co. CEO just changed (restructuring mandate). Stock -40%. Rev/employee $452K is terrible. 20,400 headcount is a massive lever. If they announce a 20-30% cut = instant +15-25% pop.</t>
  </si>
  <si>
    <t xml:space="preserve">Automation company with $430K rev/employee and 25% SBC. The irony is the catalyst. Q4 earnings in March. If management announces "eating our own dogfood" headcount reduction = asymmetric upside.</t>
  </si>
  <si>
    <t xml:space="preserve">CRM: Already restructuring (9K→5K support). More cuts probable. ZM: Earnings early March, AI companion replacing CS roles. Both have optionality but less asymmetric.</t>
  </si>
  <si>
    <t xml:space="preserve">Entry</t>
  </si>
  <si>
    <t xml:space="preserve">$139. Buy at market. This is a "wait for announcement" position so size conservatively (10-15% of total allocation).</t>
  </si>
  <si>
    <t xml:space="preserve">Buy small position ahead of Q4 FY26 earnings (March). 5-7% of allocation max — this is speculative.</t>
  </si>
  <si>
    <t xml:space="preserve">CRM: Small position at current levels. ZM: Buy only if Q4 earnings show margin beat + restructuring language. 5-8% each.</t>
  </si>
  <si>
    <t xml:space="preserve">Target (6 weeks)</t>
  </si>
  <si>
    <t xml:space="preserve">$165-180 (+19-29%) on restructuring announcement. Without announcement: $145-150 (+4-8% on software bounce alone).</t>
  </si>
  <si>
    <t xml:space="preserve">$15-20 (+25-40%) on restructuring + earnings beat. Without: stays range-bound.</t>
  </si>
  <si>
    <t xml:space="preserve">CRM: +10-15% on continued cuts. ZM: +10-20% if earnings show AI-driven margin expansion.</t>
  </si>
  <si>
    <t xml:space="preserve">$118 (-15%). Below this, the "new CEO restructuring" thesis is broken.</t>
  </si>
  <si>
    <t xml:space="preserve">$9.50 (-20%+ depending on entry). Small position = total loss acceptable.</t>
  </si>
  <si>
    <t xml:space="preserve">CRM: -10% from entry. ZM: -12% from entry.</t>
  </si>
  <si>
    <t xml:space="preserve">Restructuring announcement doesnt come in 6-week window. Company executes slowly under Bhusri. Stock drifts without catalyst.</t>
  </si>
  <si>
    <t xml:space="preserve">Earnings miss on revenue. Management doubles down on headcount. SBC continues diluting.</t>
  </si>
  <si>
    <t xml:space="preserve">CRM: Market ignores further cuts as "already known." ZM: Growth too slow to matter even with cuts.</t>
  </si>
  <si>
    <t xml:space="preserve">Conviction</t>
  </si>
  <si>
    <t xml:space="preserve">HIGH — Every screening criterion hits. Question is only timing.</t>
  </si>
  <si>
    <t xml:space="preserve">MODERATE — Bloat is real but management hasnt signaled willingness.</t>
  </si>
  <si>
    <t xml:space="preserve">LOW-MODERATE — Both already partially in motion. Less asymmetric.</t>
  </si>
  <si>
    <t xml:space="preserve">Date / Window</t>
  </si>
  <si>
    <t xml:space="preserve">Event</t>
  </si>
  <si>
    <t xml:space="preserve">Expected Impact</t>
  </si>
  <si>
    <t xml:space="preserve">Positioning</t>
  </si>
  <si>
    <t xml:space="preserve">Mar 1-15</t>
  </si>
  <si>
    <t xml:space="preserve">Q1 price increases begin flowing through (announced $60/ton)</t>
  </si>
  <si>
    <t xml:space="preserve">Positive — first quarter with full HRC price recovery</t>
  </si>
  <si>
    <t xml:space="preserve">Build full position ahead of April earnings</t>
  </si>
  <si>
    <t xml:space="preserve">Copper price continues near ATH ($5.65/lb); tariff pre-positioning continues</t>
  </si>
  <si>
    <t xml:space="preserve">Supportive — warehouse stockpiling ahead of Jun 30 deadline</t>
  </si>
  <si>
    <t xml:space="preserve">Enter or scale into position</t>
  </si>
  <si>
    <t xml:space="preserve">Mar 1-31</t>
  </si>
  <si>
    <t xml:space="preserve">Narva Phase 1A construction updates; customer engagement news</t>
  </si>
  <si>
    <t xml:space="preserve">Moderate positive — incremental de-risking of Estonia ramp</t>
  </si>
  <si>
    <t xml:space="preserve">Accumulate on any pullbacks to CA$20-21</t>
  </si>
  <si>
    <t xml:space="preserve">Skyworks merger regulatory filings and progress updates</t>
  </si>
  <si>
    <t xml:space="preserve">Positive if antitrust clearance milestones met</t>
  </si>
  <si>
    <t xml:space="preserve">Monitor merger timeline; enter on confirmed progress</t>
  </si>
  <si>
    <t xml:space="preserve">Mar-Apr</t>
  </si>
  <si>
    <t xml:space="preserve">Additional DoD contract announcements possible; DFS progress</t>
  </si>
  <si>
    <t xml:space="preserve">High impact per event but timing uncertain</t>
  </si>
  <si>
    <t xml:space="preserve">Small speculative position only</t>
  </si>
  <si>
    <t xml:space="preserve">Early Apr</t>
  </si>
  <si>
    <t xml:space="preserve">Q4 FY26 earnings (fiscal year ends Mar 31)</t>
  </si>
  <si>
    <t xml:space="preserve">Defense HPA segment strength expected; seasonal consumer weakness</t>
  </si>
  <si>
    <t xml:space="preserve">Hold through if merger catalyst intact</t>
  </si>
  <si>
    <t xml:space="preserve">Apr 17</t>
  </si>
  <si>
    <t xml:space="preserve">Q1 2026 Earnings — KEY EVENT</t>
  </si>
  <si>
    <t xml:space="preserve">MAJOR — $60/ton price increase + $10/ton cost reduction = potential EBITDA beat. POSCO update. GOES demand commentary.</t>
  </si>
  <si>
    <t xml:space="preserve">This is the primary catalyst. Consider taking partial profit if +25%+ before earnings.</t>
  </si>
  <si>
    <t xml:space="preserve">Apr 30</t>
  </si>
  <si>
    <t xml:space="preserve">Q1 2026 Earnings — edge of window</t>
  </si>
  <si>
    <t xml:space="preserve">NdPr production volumes; DoD contract revenue; Northlake update</t>
  </si>
  <si>
    <t xml:space="preserve">Only if extending beyond 6 weeks</t>
  </si>
  <si>
    <t xml:space="preserve">Ongoing</t>
  </si>
  <si>
    <t xml:space="preserve">Section 232 copper tariff decision timeline (by Jun 30)</t>
  </si>
  <si>
    <t xml:space="preserve">Each positive signal = copper price support = FCX upside</t>
  </si>
  <si>
    <t xml:space="preserve">Trail stop higher as tariff clarity improves</t>
  </si>
  <si>
    <t xml:space="preserve">ALL</t>
  </si>
  <si>
    <t xml:space="preserve">DFARS Jan 2027 rare earth ban — 9 months away</t>
  </si>
  <si>
    <t xml:space="preserve">Procurement urgency builds throughout Q1-Q2 for NEO, MP</t>
  </si>
  <si>
    <t xml:space="preserve">Narrative builds but hard catalyst is months away</t>
  </si>
  <si>
    <t xml:space="preserve">SOFTWARE RESTRUCTURING CATALYSTS</t>
  </si>
  <si>
    <t xml:space="preserve">Early Mar</t>
  </si>
  <si>
    <t xml:space="preserve">ZM</t>
  </si>
  <si>
    <t xml:space="preserve">Q4 FY26 Earnings</t>
  </si>
  <si>
    <t xml:space="preserve">Watch for AI companion metrics + headcount commentary + margin guidance</t>
  </si>
  <si>
    <t xml:space="preserve">Enter small position only if restructuring language appears</t>
  </si>
  <si>
    <t xml:space="preserve">Mid-Mar</t>
  </si>
  <si>
    <t xml:space="preserve">PATH</t>
  </si>
  <si>
    <t xml:space="preserve">Revenue per employee metric + SBC reduction + "automation of ourselves" narrative</t>
  </si>
  <si>
    <t xml:space="preserve">Speculative position ahead; size for total loss</t>
  </si>
  <si>
    <t xml:space="preserve">Mar 1-Apr 15</t>
  </si>
  <si>
    <t xml:space="preserve">WDAY</t>
  </si>
  <si>
    <t xml:space="preserve">CEO transition period — restructuring announcement window</t>
  </si>
  <si>
    <t xml:space="preserve">Bhusri return = mandate to cut. Any announcement of 15%+ headcount reduction = +15-25% pop</t>
  </si>
  <si>
    <t xml:space="preserve">Hold position; this is a "when not if" trade</t>
  </si>
  <si>
    <t xml:space="preserve">CRM</t>
  </si>
  <si>
    <t xml:space="preserve">Ongoing AI agent deployment + potential further cuts</t>
  </si>
  <si>
    <t xml:space="preserve">Each incremental cut validates the AI-first strategy narrative</t>
  </si>
  <si>
    <t xml:space="preserve">Small position; trail stops higher on each positive announcement</t>
  </si>
  <si>
    <t xml:space="preserve">ALL SW</t>
  </si>
  <si>
    <t xml:space="preserve">Software sector selloff (-$1T from highs) creates cover for restructuring</t>
  </si>
  <si>
    <t xml:space="preserve">Companies can blame "market conditions" for cuts while positioning as AI-first</t>
  </si>
  <si>
    <t xml:space="preserve">The selloff IS the catalyst — boards use weakness as justification</t>
  </si>
  <si>
    <t xml:space="preserve">Position</t>
  </si>
  <si>
    <t xml:space="preserve">Allocation %</t>
  </si>
  <si>
    <t xml:space="preserve">Target</t>
  </si>
  <si>
    <t xml:space="preserve">Risk (% of position)</t>
  </si>
  <si>
    <t xml:space="preserve">Reward (% of position)</t>
  </si>
  <si>
    <t xml:space="preserve">R:R Ratio</t>
  </si>
  <si>
    <t xml:space="preserve">Role in Portfolio</t>
  </si>
  <si>
    <t xml:space="preserve">Core #1</t>
  </si>
  <si>
    <t xml:space="preserve">Highest conviction catalyst trade. Earnings + POSCO + GOES + tariffs.</t>
  </si>
  <si>
    <t xml:space="preserve">Core #2</t>
  </si>
  <si>
    <t xml:space="preserve">Structural copper + tariff positioning. Most liquid name.</t>
  </si>
  <si>
    <t xml:space="preserve">Satellite #1</t>
  </si>
  <si>
    <t xml:space="preserve">DFARS urgency + Narva de-risking. Partially priced.</t>
  </si>
  <si>
    <t xml:space="preserve">Satellite #2</t>
  </si>
  <si>
    <t xml:space="preserve">Merger + defense dual catalyst. Moderate conviction.</t>
  </si>
  <si>
    <t xml:space="preserve">Speculative</t>
  </si>
  <si>
    <t xml:space="preserve">Asymmetric defense titanium bet. Size for total loss.</t>
  </si>
  <si>
    <t xml:space="preserve">TOTAL</t>
  </si>
  <si>
    <t xml:space="preserve">Portfolio Metrics</t>
  </si>
  <si>
    <t xml:space="preserve">Weighted Avg Downside Risk</t>
  </si>
  <si>
    <t xml:space="preserve">Weighted Avg Upside Target</t>
  </si>
  <si>
    <t xml:space="preserve">Portfolio R:R Ratio</t>
  </si>
  <si>
    <t xml:space="preserve">SOFTWARE RESTRUCTURING OVERLAY</t>
  </si>
  <si>
    <t xml:space="preserve">SW Core</t>
  </si>
  <si>
    <t xml:space="preserve">Highest conviction Block Playbook candidate. Wait for restructuring.</t>
  </si>
  <si>
    <t xml:space="preserve">SW Spec</t>
  </si>
  <si>
    <t xml:space="preserve">Most bloated automation co. Earnings in March.</t>
  </si>
  <si>
    <t xml:space="preserve">SW Satellite</t>
  </si>
  <si>
    <t xml:space="preserve">Already restructuring. Small diversification position.</t>
  </si>
  <si>
    <t xml:space="preserve">Earnings early March. AI companion catalyst. Tiny position.</t>
  </si>
  <si>
    <t xml:space="preserve">SW TOTAL</t>
  </si>
  <si>
    <t xml:space="preserve">COMBINED ALLOCATION</t>
  </si>
  <si>
    <t xml:space="preserve">Metals + Materials Core</t>
  </si>
  <si>
    <t xml:space="preserve">75%</t>
  </si>
  <si>
    <t xml:space="preserve">Software Restructuring Overlay</t>
  </si>
  <si>
    <t xml:space="preserve">25%</t>
  </si>
  <si>
    <t xml:space="preserve">Total</t>
  </si>
  <si>
    <t xml:space="preserve">100%</t>
  </si>
  <si>
    <t xml:space="preserve">Price
(~Mar 1)</t>
  </si>
  <si>
    <t xml:space="preserve">Headcount</t>
  </si>
  <si>
    <t xml:space="preserve">Revenue
per Employee</t>
  </si>
  <si>
    <t xml:space="preserve">SBC as %
of Revenue</t>
  </si>
  <si>
    <t xml:space="preserve">YTD Stock
Decline</t>
  </si>
  <si>
    <t xml:space="preserve">AI Restructuring
Signals</t>
  </si>
  <si>
    <t xml:space="preserve">Catalyst
(6 weeks)</t>
  </si>
  <si>
    <t xml:space="preserve">Bloat
Score (1-5)</t>
  </si>
  <si>
    <t xml:space="preserve">Restructuring
Probability (1-5)</t>
  </si>
  <si>
    <t xml:space="preserve">Market Reward
Potential (1-5)</t>
  </si>
  <si>
    <t xml:space="preserve">Workday</t>
  </si>
  <si>
    <t xml:space="preserve">$452K</t>
  </si>
  <si>
    <t xml:space="preserve">~18%</t>
  </si>
  <si>
    <t xml:space="preserve">-40% from highs</t>
  </si>
  <si>
    <t xml:space="preserve">CEO change (Bhusri returned); already cut 2% (400 jobs); identified as #1 candidate by analysts; $452K rev/employee is low vs peers</t>
  </si>
  <si>
    <t xml:space="preserve">CEO transition = mandate for restructuring. Q1 FY27 earnings ~May but restructuring announcement could come anytime. Software selloff creates cover.</t>
  </si>
  <si>
    <t xml:space="preserve">BUY — Highest probability next Block-style announcement</t>
  </si>
  <si>
    <t xml:space="preserve">Salesforce</t>
  </si>
  <si>
    <t xml:space="preserve">~$500K</t>
  </si>
  <si>
    <t xml:space="preserve">~12%</t>
  </si>
  <si>
    <t xml:space="preserve">-25-30% YTD</t>
  </si>
  <si>
    <t xml:space="preserve">Already cut support from 9K to 5K using AI agents. Benioff says AI handles 50% of interactions. Stock down 25-30% = market hasnt priced further cuts.</t>
  </si>
  <si>
    <t xml:space="preserve">Already in restructuring mode. Next earnings ~May. But further layoff announcement plausible in March-April as AI agent deployment expands.</t>
  </si>
  <si>
    <t xml:space="preserve">ACCUMULATE — Already restructuring; more cuts likely</t>
  </si>
  <si>
    <t xml:space="preserve">SHOP</t>
  </si>
  <si>
    <t xml:space="preserve">Shopify</t>
  </si>
  <si>
    <t xml:space="preserve">~$1.1M</t>
  </si>
  <si>
    <t xml:space="preserve">~15%</t>
  </si>
  <si>
    <t xml:space="preserve">-20% from highs</t>
  </si>
  <si>
    <t xml:space="preserve">CEO Tobi Lutke memo: "prove AI cant do it first" before hiring. Already lean relative to revenue. AI-native culture already embedded.</t>
  </si>
  <si>
    <t xml:space="preserve">Q1 earnings ~May. Cultural alignment with AI-first already priced. Less restructuring upside than WDAY/CRM.</t>
  </si>
  <si>
    <t xml:space="preserve">HOLD — Already AI-native; less restructuring catalyst</t>
  </si>
  <si>
    <t xml:space="preserve">TWLO</t>
  </si>
  <si>
    <t xml:space="preserve">Twilio</t>
  </si>
  <si>
    <t xml:space="preserve">~$905K</t>
  </si>
  <si>
    <t xml:space="preserve">~10%</t>
  </si>
  <si>
    <t xml:space="preserve">-15% from highs</t>
  </si>
  <si>
    <t xml:space="preserve">Q4 FY25 beat: 18.7% non-GAAP margins. Already cut from 8K+ to 5.6K. Margin expansion narrative playing out.</t>
  </si>
  <si>
    <t xml:space="preserve">Already executed cuts. Operating leverage thesis intact. Less asymmetric than WDAY from here.</t>
  </si>
  <si>
    <t xml:space="preserve">HOLD — Restructuring already in price; margin expansion continuing</t>
  </si>
  <si>
    <t xml:space="preserve">UiPath</t>
  </si>
  <si>
    <t xml:space="preserve">~$430K</t>
  </si>
  <si>
    <t xml:space="preserve">~25%</t>
  </si>
  <si>
    <t xml:space="preserve">-50% from highs</t>
  </si>
  <si>
    <t xml:space="preserve">Revenue per employee very low (~$430K). SBC extremely high (~25%). Ironic: an automation company that hasnt automated itself.</t>
  </si>
  <si>
    <t xml:space="preserve">Q4 FY26 earnings in March. If they announce AI-driven headcount reduction alongside earnings = Block-style pop.</t>
  </si>
  <si>
    <t xml:space="preserve">SPECULATIVE BUY — Most bloated; earnings imminent; highest SBC</t>
  </si>
  <si>
    <t xml:space="preserve">Zoom</t>
  </si>
  <si>
    <t xml:space="preserve">~$620K</t>
  </si>
  <si>
    <t xml:space="preserve">~14%</t>
  </si>
  <si>
    <t xml:space="preserve">Post-pandemic bloat still evident. Revenue growth stalling. AI companion features could replace support/CS headcount.</t>
  </si>
  <si>
    <t xml:space="preserve">Q4 FY26 earnings early March. AI companion narrative + cost cuts = potential catalyst.</t>
  </si>
  <si>
    <t xml:space="preserve">ACCUMULATE — Earnings in window; restructuring optionality</t>
  </si>
  <si>
    <t xml:space="preserve">THE BLOCK PLAYBOOK: Screening for the Next AI Restructuring Pop</t>
  </si>
  <si>
    <t xml:space="preserve">What Block Did (Template)</t>
  </si>
  <si>
    <t xml:space="preserve">Metric</t>
  </si>
  <si>
    <t xml:space="preserve">Block Pre-Cut</t>
  </si>
  <si>
    <t xml:space="preserve">Block Post-Cut</t>
  </si>
  <si>
    <t xml:space="preserve">Signal to Screen For</t>
  </si>
  <si>
    <t xml:space="preserve">10,205</t>
  </si>
  <si>
    <t xml:space="preserve">~6,000 (-41%)</t>
  </si>
  <si>
    <t xml:space="preserve">Companies with &gt;15K employees AND declining revenue growth</t>
  </si>
  <si>
    <t xml:space="preserve">Revenue per Employee</t>
  </si>
  <si>
    <t xml:space="preserve">~$600K</t>
  </si>
  <si>
    <t xml:space="preserve">~$1.0M+ (projected)</t>
  </si>
  <si>
    <t xml:space="preserve">Rev/employee below $500K = bloated</t>
  </si>
  <si>
    <t xml:space="preserve">SBC as % of Revenue</t>
  </si>
  <si>
    <t xml:space="preserve">Declining sharply</t>
  </si>
  <si>
    <t xml:space="preserve">SBC &gt;15% of revenue = excessive; diluting shareholders</t>
  </si>
  <si>
    <t xml:space="preserve">Operating Margin</t>
  </si>
  <si>
    <t xml:space="preserve">~26% (guided)</t>
  </si>
  <si>
    <t xml:space="preserve">Companies with &lt;20% non-GAAP margins with room to expand 500-800bps</t>
  </si>
  <si>
    <t xml:space="preserve">Stock Reaction</t>
  </si>
  <si>
    <t xml:space="preserve">N/A</t>
  </si>
  <si>
    <t xml:space="preserve">+24% in 1 day</t>
  </si>
  <si>
    <t xml:space="preserve">Market rewards 15-25% on decisive AI-first announcement</t>
  </si>
  <si>
    <t xml:space="preserve">CEO Narrative</t>
  </si>
  <si>
    <t xml:space="preserve">Gradual decline</t>
  </si>
  <si>
    <t xml:space="preserve">"Act now vs death by a thousand cuts"</t>
  </si>
  <si>
    <t xml:space="preserve">New CEO or activist pressure = restructuring catalyst</t>
  </si>
  <si>
    <t xml:space="preserve">AI Integration Depth</t>
  </si>
  <si>
    <t xml:space="preserve">Moderate</t>
  </si>
  <si>
    <t xml:space="preserve">AI-native rewrite of all workflows</t>
  </si>
  <si>
    <t xml:space="preserve">Companies investing in AI tools but not yet cutting humans</t>
  </si>
  <si>
    <t xml:space="preserve">Key Screening Criteria (in priority order)</t>
  </si>
  <si>
    <t xml:space="preserve">1. Revenue/employee &lt; $500K</t>
  </si>
  <si>
    <t xml:space="preserve">Indicates labor bloat relative to output</t>
  </si>
  <si>
    <t xml:space="preserve">2. SBC &gt; 15% of revenue</t>
  </si>
  <si>
    <t xml:space="preserve">Excessive stock-based comp diluting shareholders; boards under pressure</t>
  </si>
  <si>
    <t xml:space="preserve">3. CEO change or activist involvement</t>
  </si>
  <si>
    <t xml:space="preserve">New leadership = restructuring mandate. Activist = external pressure.</t>
  </si>
  <si>
    <t xml:space="preserve">4. Stock down &gt;25% YTD or from highs</t>
  </si>
  <si>
    <t xml:space="preserve">Market already punishing; restructuring becomes "the fix"</t>
  </si>
  <si>
    <t xml:space="preserve">5. AI tools deployed but headcount flat</t>
  </si>
  <si>
    <t xml:space="preserve">Company has the tools but hasnt pulled the trigger on cuts</t>
  </si>
  <si>
    <t xml:space="preserve">6. Earnings in next 6 weeks</t>
  </si>
  <si>
    <t xml:space="preserve">Restructuring often announced alongside earnings for narrative cover</t>
  </si>
  <si>
    <t xml:space="preserve">7. Operating margin &lt;20% with clear path to 25%+</t>
  </si>
  <si>
    <t xml:space="preserve">Block showed 800bp improvement; market wants to see the same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</si>
</sst>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%"/>
    <numFmt numFmtId="167" formatCode="0.0\x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6B2D5B"/>
      <name val="Arial"/>
      <family val="0"/>
      <charset val="1"/>
    </font>
    <font>
      <b val="true"/>
      <sz val="11"/>
      <color rgb="FF6B2D5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CC99"/>
      </patternFill>
    </fill>
    <fill>
      <patternFill patternType="solid">
        <fgColor rgb="FFD9E2F3"/>
        <bgColor rgb="FFF2F2F2"/>
      </patternFill>
    </fill>
    <fill>
      <patternFill patternType="solid">
        <fgColor rgb="FF6B2D5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2D5B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50"/>
    <col collapsed="false" customWidth="true" hidden="false" outlineLevel="0" max="7" min="7" style="1" width="30"/>
    <col collapsed="false" customWidth="true" hidden="false" outlineLevel="0" max="12" min="8" style="1" width="12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15" min="15" style="1" width="42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34.5" hidden="false" customHeight="true" outlineLevel="0" collapsed="false">
      <c r="A2" s="3" t="n">
        <v>1</v>
      </c>
      <c r="B2" s="3" t="s">
        <v>15</v>
      </c>
      <c r="C2" s="3" t="s">
        <v>16</v>
      </c>
      <c r="D2" s="3" t="n">
        <v>10.66</v>
      </c>
      <c r="E2" s="3" t="s">
        <v>17</v>
      </c>
      <c r="F2" s="3" t="s">
        <v>18</v>
      </c>
      <c r="G2" s="3" t="s">
        <v>19</v>
      </c>
      <c r="H2" s="3" t="n">
        <v>5</v>
      </c>
      <c r="I2" s="3" t="n">
        <v>4</v>
      </c>
      <c r="J2" s="3" t="n">
        <v>4</v>
      </c>
      <c r="K2" s="3" t="n">
        <v>5</v>
      </c>
      <c r="L2" s="3" t="n">
        <v>5</v>
      </c>
      <c r="M2" s="3" t="n">
        <f aca="false">SUM(H2:L2)</f>
        <v>23</v>
      </c>
      <c r="N2" s="3" t="s">
        <v>20</v>
      </c>
      <c r="O2" s="4" t="s">
        <v>21</v>
      </c>
    </row>
    <row r="3" customFormat="false" ht="34.5" hidden="false" customHeight="true" outlineLevel="0" collapsed="false">
      <c r="A3" s="5" t="n">
        <v>2</v>
      </c>
      <c r="B3" s="5" t="s">
        <v>22</v>
      </c>
      <c r="C3" s="5" t="s">
        <v>23</v>
      </c>
      <c r="D3" s="5" t="n">
        <v>68.08</v>
      </c>
      <c r="E3" s="5" t="s">
        <v>24</v>
      </c>
      <c r="F3" s="5" t="s">
        <v>25</v>
      </c>
      <c r="G3" s="5" t="s">
        <v>26</v>
      </c>
      <c r="H3" s="5" t="n">
        <v>4</v>
      </c>
      <c r="I3" s="5" t="n">
        <v>4</v>
      </c>
      <c r="J3" s="5" t="n">
        <v>4</v>
      </c>
      <c r="K3" s="5" t="n">
        <v>5</v>
      </c>
      <c r="L3" s="5" t="n">
        <v>4</v>
      </c>
      <c r="M3" s="5" t="n">
        <f aca="false">SUM(H3:L3)</f>
        <v>21</v>
      </c>
      <c r="N3" s="5" t="s">
        <v>27</v>
      </c>
      <c r="O3" s="4" t="s">
        <v>28</v>
      </c>
    </row>
    <row r="4" customFormat="false" ht="34.5" hidden="false" customHeight="true" outlineLevel="0" collapsed="false">
      <c r="A4" s="3" t="n">
        <v>3</v>
      </c>
      <c r="B4" s="3" t="s">
        <v>29</v>
      </c>
      <c r="C4" s="3" t="s">
        <v>30</v>
      </c>
      <c r="D4" s="3" t="n">
        <v>23.1</v>
      </c>
      <c r="E4" s="3" t="s">
        <v>31</v>
      </c>
      <c r="F4" s="3" t="s">
        <v>32</v>
      </c>
      <c r="G4" s="3" t="s">
        <v>33</v>
      </c>
      <c r="H4" s="3" t="n">
        <v>4</v>
      </c>
      <c r="I4" s="3" t="n">
        <v>4</v>
      </c>
      <c r="J4" s="3" t="n">
        <v>3</v>
      </c>
      <c r="K4" s="3" t="n">
        <v>3</v>
      </c>
      <c r="L4" s="3" t="n">
        <v>4</v>
      </c>
      <c r="M4" s="3" t="n">
        <f aca="false">SUM(H4:L4)</f>
        <v>18</v>
      </c>
      <c r="N4" s="3" t="s">
        <v>34</v>
      </c>
      <c r="O4" s="6" t="s">
        <v>35</v>
      </c>
    </row>
    <row r="5" customFormat="false" ht="34.5" hidden="false" customHeight="true" outlineLevel="0" collapsed="false">
      <c r="A5" s="5" t="n">
        <v>4</v>
      </c>
      <c r="B5" s="5" t="s">
        <v>36</v>
      </c>
      <c r="C5" s="5" t="s">
        <v>37</v>
      </c>
      <c r="D5" s="5"/>
      <c r="E5" s="5" t="s">
        <v>38</v>
      </c>
      <c r="F5" s="5" t="s">
        <v>39</v>
      </c>
      <c r="G5" s="5" t="s">
        <v>40</v>
      </c>
      <c r="H5" s="5" t="n">
        <v>4</v>
      </c>
      <c r="I5" s="5" t="n">
        <v>4</v>
      </c>
      <c r="J5" s="5" t="n">
        <v>3</v>
      </c>
      <c r="K5" s="5" t="n">
        <v>5</v>
      </c>
      <c r="L5" s="5" t="n">
        <v>4</v>
      </c>
      <c r="M5" s="5" t="n">
        <f aca="false">SUM(H5:L5)</f>
        <v>20</v>
      </c>
      <c r="N5" s="5" t="s">
        <v>27</v>
      </c>
      <c r="O5" s="4" t="s">
        <v>41</v>
      </c>
    </row>
    <row r="6" customFormat="false" ht="34.5" hidden="false" customHeight="true" outlineLevel="0" collapsed="false">
      <c r="A6" s="3" t="n">
        <v>5</v>
      </c>
      <c r="B6" s="3" t="s">
        <v>42</v>
      </c>
      <c r="C6" s="3" t="s">
        <v>43</v>
      </c>
      <c r="D6" s="3" t="n">
        <v>58.66</v>
      </c>
      <c r="E6" s="3" t="s">
        <v>44</v>
      </c>
      <c r="F6" s="3" t="s">
        <v>45</v>
      </c>
      <c r="G6" s="3" t="s">
        <v>46</v>
      </c>
      <c r="H6" s="3" t="n">
        <v>3</v>
      </c>
      <c r="I6" s="3" t="n">
        <v>3</v>
      </c>
      <c r="J6" s="3" t="n">
        <v>4</v>
      </c>
      <c r="K6" s="3" t="n">
        <v>5</v>
      </c>
      <c r="L6" s="3" t="n">
        <v>3</v>
      </c>
      <c r="M6" s="3" t="n">
        <f aca="false">SUM(H6:L6)</f>
        <v>18</v>
      </c>
      <c r="N6" s="3" t="s">
        <v>47</v>
      </c>
      <c r="O6" s="7" t="s">
        <v>48</v>
      </c>
    </row>
    <row r="7" customFormat="false" ht="23.25" hidden="false" customHeight="true" outlineLevel="0" collapsed="false">
      <c r="A7" s="5" t="n">
        <v>6</v>
      </c>
      <c r="B7" s="5" t="s">
        <v>49</v>
      </c>
      <c r="C7" s="5" t="s">
        <v>50</v>
      </c>
      <c r="D7" s="5"/>
      <c r="E7" s="5" t="s">
        <v>51</v>
      </c>
      <c r="F7" s="5" t="s">
        <v>52</v>
      </c>
      <c r="G7" s="5" t="s">
        <v>53</v>
      </c>
      <c r="H7" s="5" t="n">
        <v>3</v>
      </c>
      <c r="I7" s="5" t="n">
        <v>5</v>
      </c>
      <c r="J7" s="5" t="n">
        <v>2</v>
      </c>
      <c r="K7" s="5" t="n">
        <v>2</v>
      </c>
      <c r="L7" s="5" t="n">
        <v>3</v>
      </c>
      <c r="M7" s="5" t="n">
        <f aca="false">SUM(H7:L7)</f>
        <v>15</v>
      </c>
      <c r="N7" s="5" t="s">
        <v>54</v>
      </c>
      <c r="O7" s="5" t="s">
        <v>55</v>
      </c>
    </row>
    <row r="8" customFormat="false" ht="34.5" hidden="false" customHeight="true" outlineLevel="0" collapsed="false">
      <c r="A8" s="3" t="n">
        <v>7</v>
      </c>
      <c r="B8" s="3" t="s">
        <v>56</v>
      </c>
      <c r="C8" s="3" t="s">
        <v>57</v>
      </c>
      <c r="D8" s="3"/>
      <c r="E8" s="3" t="s">
        <v>58</v>
      </c>
      <c r="F8" s="3" t="s">
        <v>59</v>
      </c>
      <c r="G8" s="3" t="s">
        <v>60</v>
      </c>
      <c r="H8" s="3" t="n">
        <v>3</v>
      </c>
      <c r="I8" s="3" t="n">
        <v>3</v>
      </c>
      <c r="J8" s="3" t="n">
        <v>3</v>
      </c>
      <c r="K8" s="3" t="n">
        <v>4</v>
      </c>
      <c r="L8" s="3" t="n">
        <v>3</v>
      </c>
      <c r="M8" s="3" t="n">
        <f aca="false">SUM(H8:L8)</f>
        <v>16</v>
      </c>
      <c r="N8" s="3" t="s">
        <v>47</v>
      </c>
      <c r="O8" s="6" t="s">
        <v>61</v>
      </c>
    </row>
    <row r="9" customFormat="false" ht="23.25" hidden="false" customHeight="true" outlineLevel="0" collapsed="false">
      <c r="A9" s="5" t="n">
        <v>8</v>
      </c>
      <c r="B9" s="5" t="s">
        <v>62</v>
      </c>
      <c r="C9" s="5" t="s">
        <v>63</v>
      </c>
      <c r="D9" s="5" t="n">
        <v>259.32</v>
      </c>
      <c r="E9" s="5" t="s">
        <v>64</v>
      </c>
      <c r="F9" s="5" t="s">
        <v>65</v>
      </c>
      <c r="G9" s="5" t="s">
        <v>66</v>
      </c>
      <c r="H9" s="5" t="n">
        <v>3</v>
      </c>
      <c r="I9" s="5" t="n">
        <v>3</v>
      </c>
      <c r="J9" s="5" t="n">
        <v>3</v>
      </c>
      <c r="K9" s="5" t="n">
        <v>5</v>
      </c>
      <c r="L9" s="5" t="n">
        <v>2</v>
      </c>
      <c r="M9" s="5" t="n">
        <f aca="false">SUM(H9:L9)</f>
        <v>16</v>
      </c>
      <c r="N9" s="5" t="s">
        <v>67</v>
      </c>
      <c r="O9" s="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55"/>
  </cols>
  <sheetData>
    <row r="1" customFormat="false" ht="15" hidden="false" customHeight="true" outlineLevel="0" collapsed="false">
      <c r="A1" s="2" t="s">
        <v>69</v>
      </c>
      <c r="B1" s="2" t="s">
        <v>70</v>
      </c>
      <c r="C1" s="2" t="s">
        <v>71</v>
      </c>
      <c r="D1" s="2" t="s">
        <v>72</v>
      </c>
    </row>
    <row r="2" customFormat="false" ht="15" hidden="false" customHeight="true" outlineLevel="0" collapsed="false">
      <c r="A2" s="3" t="s">
        <v>3</v>
      </c>
      <c r="B2" s="3" t="s">
        <v>73</v>
      </c>
      <c r="C2" s="3" t="s">
        <v>74</v>
      </c>
      <c r="D2" s="3" t="s">
        <v>75</v>
      </c>
    </row>
    <row r="3" customFormat="false" ht="23.25" hidden="false" customHeight="true" outlineLevel="0" collapsed="false">
      <c r="A3" s="5" t="s">
        <v>76</v>
      </c>
      <c r="B3" s="5" t="s">
        <v>77</v>
      </c>
      <c r="C3" s="5" t="s">
        <v>78</v>
      </c>
      <c r="D3" s="5" t="s">
        <v>79</v>
      </c>
    </row>
    <row r="4" customFormat="false" ht="23.25" hidden="false" customHeight="true" outlineLevel="0" collapsed="false">
      <c r="A4" s="3" t="s">
        <v>80</v>
      </c>
      <c r="B4" s="3" t="s">
        <v>81</v>
      </c>
      <c r="C4" s="3" t="s">
        <v>82</v>
      </c>
      <c r="D4" s="3" t="s">
        <v>83</v>
      </c>
    </row>
    <row r="5" customFormat="false" ht="23.25" hidden="false" customHeight="true" outlineLevel="0" collapsed="false">
      <c r="A5" s="5" t="s">
        <v>84</v>
      </c>
      <c r="B5" s="5" t="s">
        <v>85</v>
      </c>
      <c r="C5" s="5" t="s">
        <v>86</v>
      </c>
      <c r="D5" s="5" t="s">
        <v>87</v>
      </c>
    </row>
    <row r="6" customFormat="false" ht="15" hidden="false" customHeight="true" outlineLevel="0" collapsed="false">
      <c r="A6" s="3" t="s">
        <v>88</v>
      </c>
      <c r="B6" s="3" t="s">
        <v>89</v>
      </c>
      <c r="C6" s="3" t="s">
        <v>90</v>
      </c>
      <c r="D6" s="3" t="s">
        <v>91</v>
      </c>
    </row>
    <row r="7" customFormat="false" ht="34.5" hidden="false" customHeight="true" outlineLevel="0" collapsed="false">
      <c r="A7" s="5" t="s">
        <v>92</v>
      </c>
      <c r="B7" s="5" t="s">
        <v>93</v>
      </c>
      <c r="C7" s="5" t="s">
        <v>94</v>
      </c>
      <c r="D7" s="5" t="s">
        <v>95</v>
      </c>
    </row>
    <row r="8" customFormat="false" ht="34.5" hidden="false" customHeight="true" outlineLevel="0" collapsed="false">
      <c r="A8" s="3" t="s">
        <v>96</v>
      </c>
      <c r="B8" s="3" t="s">
        <v>97</v>
      </c>
      <c r="C8" s="3" t="s">
        <v>98</v>
      </c>
      <c r="D8" s="3" t="s">
        <v>99</v>
      </c>
    </row>
    <row r="9" customFormat="false" ht="23.25" hidden="false" customHeight="true" outlineLevel="0" collapsed="false">
      <c r="A9" s="5" t="s">
        <v>100</v>
      </c>
      <c r="B9" s="5" t="s">
        <v>101</v>
      </c>
      <c r="C9" s="5" t="s">
        <v>102</v>
      </c>
      <c r="D9" s="5" t="s">
        <v>103</v>
      </c>
    </row>
    <row r="10" customFormat="false" ht="23.25" hidden="false" customHeight="true" outlineLevel="0" collapsed="false">
      <c r="A10" s="3" t="s">
        <v>104</v>
      </c>
      <c r="B10" s="3" t="s">
        <v>105</v>
      </c>
      <c r="C10" s="3" t="s">
        <v>106</v>
      </c>
      <c r="D10" s="3" t="s">
        <v>107</v>
      </c>
    </row>
    <row r="11" customFormat="false" ht="23.25" hidden="false" customHeight="true" outlineLevel="0" collapsed="false">
      <c r="A11" s="5" t="s">
        <v>108</v>
      </c>
      <c r="B11" s="5" t="s">
        <v>109</v>
      </c>
      <c r="C11" s="5" t="s">
        <v>110</v>
      </c>
      <c r="D11" s="5" t="s">
        <v>111</v>
      </c>
    </row>
    <row r="12" customFormat="false" ht="15" hidden="false" customHeight="true" outlineLevel="0" collapsed="false">
      <c r="A12" s="3" t="s">
        <v>112</v>
      </c>
      <c r="B12" s="3" t="s">
        <v>113</v>
      </c>
      <c r="C12" s="3" t="s">
        <v>114</v>
      </c>
      <c r="D12" s="3" t="s">
        <v>115</v>
      </c>
    </row>
    <row r="14" customFormat="false" ht="15" hidden="false" customHeight="false" outlineLevel="0" collapsed="false">
      <c r="A14" s="8" t="s">
        <v>116</v>
      </c>
      <c r="B14" s="8"/>
      <c r="C14" s="8"/>
      <c r="D14" s="8"/>
    </row>
    <row r="15" customFormat="false" ht="15" hidden="false" customHeight="false" outlineLevel="0" collapsed="false">
      <c r="A15" s="9" t="s">
        <v>69</v>
      </c>
      <c r="B15" s="9" t="s">
        <v>117</v>
      </c>
      <c r="C15" s="9" t="s">
        <v>118</v>
      </c>
      <c r="D15" s="9" t="s">
        <v>119</v>
      </c>
    </row>
    <row r="16" customFormat="false" ht="46.25" hidden="false" customHeight="false" outlineLevel="0" collapsed="false">
      <c r="A16" s="3" t="s">
        <v>120</v>
      </c>
      <c r="B16" s="3" t="s">
        <v>121</v>
      </c>
      <c r="C16" s="3" t="s">
        <v>122</v>
      </c>
      <c r="D16" s="3" t="s">
        <v>123</v>
      </c>
    </row>
    <row r="17" customFormat="false" ht="23.85" hidden="false" customHeight="false" outlineLevel="0" collapsed="false">
      <c r="A17" s="5" t="s">
        <v>124</v>
      </c>
      <c r="B17" s="5" t="s">
        <v>125</v>
      </c>
      <c r="C17" s="5" t="s">
        <v>126</v>
      </c>
      <c r="D17" s="5" t="s">
        <v>127</v>
      </c>
    </row>
    <row r="18" customFormat="false" ht="23.85" hidden="false" customHeight="false" outlineLevel="0" collapsed="false">
      <c r="A18" s="3" t="s">
        <v>128</v>
      </c>
      <c r="B18" s="3" t="s">
        <v>129</v>
      </c>
      <c r="C18" s="3" t="s">
        <v>130</v>
      </c>
      <c r="D18" s="3" t="s">
        <v>131</v>
      </c>
    </row>
    <row r="19" customFormat="false" ht="23.85" hidden="false" customHeight="false" outlineLevel="0" collapsed="false">
      <c r="A19" s="5" t="s">
        <v>84</v>
      </c>
      <c r="B19" s="5" t="s">
        <v>132</v>
      </c>
      <c r="C19" s="5" t="s">
        <v>133</v>
      </c>
      <c r="D19" s="5" t="s">
        <v>134</v>
      </c>
    </row>
    <row r="20" customFormat="false" ht="35.05" hidden="false" customHeight="false" outlineLevel="0" collapsed="false">
      <c r="A20" s="3" t="s">
        <v>100</v>
      </c>
      <c r="B20" s="3" t="s">
        <v>135</v>
      </c>
      <c r="C20" s="3" t="s">
        <v>136</v>
      </c>
      <c r="D20" s="3" t="s">
        <v>137</v>
      </c>
    </row>
    <row r="21" customFormat="false" ht="23.85" hidden="false" customHeight="false" outlineLevel="0" collapsed="false">
      <c r="A21" s="5" t="s">
        <v>138</v>
      </c>
      <c r="B21" s="5" t="s">
        <v>139</v>
      </c>
      <c r="C21" s="5" t="s">
        <v>140</v>
      </c>
      <c r="D21" s="5" t="s">
        <v>141</v>
      </c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4" min="3" style="1" width="50"/>
    <col collapsed="false" customWidth="true" hidden="false" outlineLevel="0" max="5" min="5" style="1" width="45"/>
  </cols>
  <sheetData>
    <row r="1" customFormat="false" ht="15" hidden="false" customHeight="true" outlineLevel="0" collapsed="false">
      <c r="A1" s="2" t="s">
        <v>142</v>
      </c>
      <c r="B1" s="2" t="s">
        <v>1</v>
      </c>
      <c r="C1" s="2" t="s">
        <v>143</v>
      </c>
      <c r="D1" s="2" t="s">
        <v>144</v>
      </c>
      <c r="E1" s="2" t="s">
        <v>145</v>
      </c>
    </row>
    <row r="2" customFormat="false" ht="23.25" hidden="false" customHeight="true" outlineLevel="0" collapsed="false">
      <c r="A2" s="3" t="s">
        <v>146</v>
      </c>
      <c r="B2" s="3" t="s">
        <v>15</v>
      </c>
      <c r="C2" s="3" t="s">
        <v>147</v>
      </c>
      <c r="D2" s="3" t="s">
        <v>148</v>
      </c>
      <c r="E2" s="3" t="s">
        <v>149</v>
      </c>
    </row>
    <row r="3" customFormat="false" ht="23.25" hidden="false" customHeight="true" outlineLevel="0" collapsed="false">
      <c r="A3" s="5" t="s">
        <v>146</v>
      </c>
      <c r="B3" s="5" t="s">
        <v>22</v>
      </c>
      <c r="C3" s="5" t="s">
        <v>150</v>
      </c>
      <c r="D3" s="5" t="s">
        <v>151</v>
      </c>
      <c r="E3" s="5" t="s">
        <v>152</v>
      </c>
    </row>
    <row r="4" customFormat="false" ht="23.25" hidden="false" customHeight="true" outlineLevel="0" collapsed="false">
      <c r="A4" s="3" t="s">
        <v>153</v>
      </c>
      <c r="B4" s="3" t="s">
        <v>29</v>
      </c>
      <c r="C4" s="3" t="s">
        <v>154</v>
      </c>
      <c r="D4" s="3" t="s">
        <v>155</v>
      </c>
      <c r="E4" s="3" t="s">
        <v>156</v>
      </c>
    </row>
    <row r="5" customFormat="false" ht="15" hidden="false" customHeight="true" outlineLevel="0" collapsed="false">
      <c r="A5" s="5" t="s">
        <v>153</v>
      </c>
      <c r="B5" s="5" t="s">
        <v>36</v>
      </c>
      <c r="C5" s="5" t="s">
        <v>157</v>
      </c>
      <c r="D5" s="5" t="s">
        <v>158</v>
      </c>
      <c r="E5" s="5" t="s">
        <v>159</v>
      </c>
    </row>
    <row r="6" customFormat="false" ht="23.25" hidden="false" customHeight="true" outlineLevel="0" collapsed="false">
      <c r="A6" s="3" t="s">
        <v>160</v>
      </c>
      <c r="B6" s="3" t="s">
        <v>49</v>
      </c>
      <c r="C6" s="3" t="s">
        <v>161</v>
      </c>
      <c r="D6" s="3" t="s">
        <v>162</v>
      </c>
      <c r="E6" s="3" t="s">
        <v>163</v>
      </c>
    </row>
    <row r="7" customFormat="false" ht="23.25" hidden="false" customHeight="true" outlineLevel="0" collapsed="false">
      <c r="A7" s="5" t="s">
        <v>164</v>
      </c>
      <c r="B7" s="5" t="s">
        <v>36</v>
      </c>
      <c r="C7" s="5" t="s">
        <v>165</v>
      </c>
      <c r="D7" s="5" t="s">
        <v>166</v>
      </c>
      <c r="E7" s="5" t="s">
        <v>167</v>
      </c>
    </row>
    <row r="8" customFormat="false" ht="34.5" hidden="false" customHeight="true" outlineLevel="0" collapsed="false">
      <c r="A8" s="3" t="s">
        <v>168</v>
      </c>
      <c r="B8" s="3" t="s">
        <v>15</v>
      </c>
      <c r="C8" s="3" t="s">
        <v>169</v>
      </c>
      <c r="D8" s="3" t="s">
        <v>170</v>
      </c>
      <c r="E8" s="3" t="s">
        <v>171</v>
      </c>
    </row>
    <row r="9" customFormat="false" ht="23.25" hidden="false" customHeight="true" outlineLevel="0" collapsed="false">
      <c r="A9" s="5" t="s">
        <v>172</v>
      </c>
      <c r="B9" s="5" t="s">
        <v>42</v>
      </c>
      <c r="C9" s="5" t="s">
        <v>173</v>
      </c>
      <c r="D9" s="5" t="s">
        <v>174</v>
      </c>
      <c r="E9" s="5" t="s">
        <v>175</v>
      </c>
    </row>
    <row r="10" customFormat="false" ht="15" hidden="false" customHeight="true" outlineLevel="0" collapsed="false">
      <c r="A10" s="3" t="s">
        <v>176</v>
      </c>
      <c r="B10" s="3" t="s">
        <v>22</v>
      </c>
      <c r="C10" s="3" t="s">
        <v>177</v>
      </c>
      <c r="D10" s="3" t="s">
        <v>178</v>
      </c>
      <c r="E10" s="3" t="s">
        <v>179</v>
      </c>
    </row>
    <row r="11" customFormat="false" ht="15" hidden="false" customHeight="true" outlineLevel="0" collapsed="false">
      <c r="A11" s="5" t="s">
        <v>176</v>
      </c>
      <c r="B11" s="5" t="s">
        <v>180</v>
      </c>
      <c r="C11" s="5" t="s">
        <v>181</v>
      </c>
      <c r="D11" s="5" t="s">
        <v>182</v>
      </c>
      <c r="E11" s="5" t="s">
        <v>183</v>
      </c>
    </row>
    <row r="12" customFormat="false" ht="15" hidden="false" customHeight="false" outlineLevel="0" collapsed="false">
      <c r="A12" s="5"/>
      <c r="B12" s="5"/>
      <c r="C12" s="5"/>
      <c r="D12" s="5"/>
      <c r="E12" s="5"/>
    </row>
    <row r="13" customFormat="false" ht="15" hidden="false" customHeight="false" outlineLevel="0" collapsed="false">
      <c r="A13" s="10"/>
      <c r="B13" s="10" t="s">
        <v>184</v>
      </c>
      <c r="C13" s="10"/>
      <c r="D13" s="10"/>
      <c r="E13" s="10"/>
    </row>
    <row r="14" customFormat="false" ht="23.85" hidden="false" customHeight="false" outlineLevel="0" collapsed="false">
      <c r="A14" s="5" t="s">
        <v>185</v>
      </c>
      <c r="B14" s="5" t="s">
        <v>186</v>
      </c>
      <c r="C14" s="5" t="s">
        <v>187</v>
      </c>
      <c r="D14" s="5" t="s">
        <v>188</v>
      </c>
      <c r="E14" s="5" t="s">
        <v>189</v>
      </c>
    </row>
    <row r="15" customFormat="false" ht="23.85" hidden="false" customHeight="false" outlineLevel="0" collapsed="false">
      <c r="A15" s="5" t="s">
        <v>190</v>
      </c>
      <c r="B15" s="5" t="s">
        <v>191</v>
      </c>
      <c r="C15" s="5" t="s">
        <v>187</v>
      </c>
      <c r="D15" s="5" t="s">
        <v>192</v>
      </c>
      <c r="E15" s="5" t="s">
        <v>193</v>
      </c>
    </row>
    <row r="16" customFormat="false" ht="23.85" hidden="false" customHeight="false" outlineLevel="0" collapsed="false">
      <c r="A16" s="5" t="s">
        <v>194</v>
      </c>
      <c r="B16" s="5" t="s">
        <v>195</v>
      </c>
      <c r="C16" s="5" t="s">
        <v>196</v>
      </c>
      <c r="D16" s="5" t="s">
        <v>197</v>
      </c>
      <c r="E16" s="5" t="s">
        <v>198</v>
      </c>
    </row>
    <row r="17" customFormat="false" ht="23.85" hidden="false" customHeight="false" outlineLevel="0" collapsed="false">
      <c r="A17" s="5" t="s">
        <v>194</v>
      </c>
      <c r="B17" s="5" t="s">
        <v>199</v>
      </c>
      <c r="C17" s="5" t="s">
        <v>200</v>
      </c>
      <c r="D17" s="5" t="s">
        <v>201</v>
      </c>
      <c r="E17" s="5" t="s">
        <v>202</v>
      </c>
    </row>
    <row r="18" customFormat="false" ht="23.85" hidden="false" customHeight="false" outlineLevel="0" collapsed="false">
      <c r="A18" s="5" t="s">
        <v>176</v>
      </c>
      <c r="B18" s="5" t="s">
        <v>203</v>
      </c>
      <c r="C18" s="5" t="s">
        <v>204</v>
      </c>
      <c r="D18" s="5" t="s">
        <v>205</v>
      </c>
      <c r="E18" s="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8" min="7" style="1" width="14"/>
    <col collapsed="false" customWidth="true" hidden="false" outlineLevel="0" max="9" min="9" style="1" width="10"/>
    <col collapsed="false" customWidth="true" hidden="false" outlineLevel="0" max="10" min="10" style="1" width="50"/>
  </cols>
  <sheetData>
    <row r="1" customFormat="false" ht="26.25" hidden="false" customHeight="true" outlineLevel="0" collapsed="false">
      <c r="A1" s="2" t="s">
        <v>207</v>
      </c>
      <c r="B1" s="2" t="s">
        <v>1</v>
      </c>
      <c r="C1" s="2" t="s">
        <v>208</v>
      </c>
      <c r="D1" s="2" t="s">
        <v>124</v>
      </c>
      <c r="E1" s="2" t="s">
        <v>84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</row>
    <row r="2" customFormat="false" ht="23.25" hidden="false" customHeight="true" outlineLevel="0" collapsed="false">
      <c r="A2" s="3" t="s">
        <v>214</v>
      </c>
      <c r="B2" s="3" t="s">
        <v>15</v>
      </c>
      <c r="C2" s="11" t="n">
        <v>0.35</v>
      </c>
      <c r="D2" s="3" t="n">
        <v>10.66</v>
      </c>
      <c r="E2" s="3" t="n">
        <v>9</v>
      </c>
      <c r="F2" s="3" t="n">
        <v>13.5</v>
      </c>
      <c r="G2" s="12" t="n">
        <f aca="false">(D2-E2)/D2</f>
        <v>0.155722326454034</v>
      </c>
      <c r="H2" s="12" t="n">
        <f aca="false">(F2-D2)/D2</f>
        <v>0.266416510318949</v>
      </c>
      <c r="I2" s="13" t="n">
        <f aca="false">H2/G2</f>
        <v>1.71084337349398</v>
      </c>
      <c r="J2" s="3" t="s">
        <v>215</v>
      </c>
    </row>
    <row r="3" customFormat="false" ht="15" hidden="false" customHeight="true" outlineLevel="0" collapsed="false">
      <c r="A3" s="5" t="s">
        <v>216</v>
      </c>
      <c r="B3" s="5" t="s">
        <v>22</v>
      </c>
      <c r="C3" s="14" t="n">
        <v>0.28</v>
      </c>
      <c r="D3" s="5" t="n">
        <v>68.08</v>
      </c>
      <c r="E3" s="5" t="n">
        <v>60</v>
      </c>
      <c r="F3" s="5" t="n">
        <v>78</v>
      </c>
      <c r="G3" s="15" t="n">
        <f aca="false">(D3-E3)/D3</f>
        <v>0.118683901292597</v>
      </c>
      <c r="H3" s="15" t="n">
        <f aca="false">(F3-D3)/D3</f>
        <v>0.145710928319624</v>
      </c>
      <c r="I3" s="16" t="n">
        <f aca="false">H3/G3</f>
        <v>1.22772277227723</v>
      </c>
      <c r="J3" s="5" t="s">
        <v>217</v>
      </c>
    </row>
    <row r="4" customFormat="false" ht="15" hidden="false" customHeight="true" outlineLevel="0" collapsed="false">
      <c r="A4" s="3" t="s">
        <v>218</v>
      </c>
      <c r="B4" s="3" t="s">
        <v>29</v>
      </c>
      <c r="C4" s="11" t="n">
        <v>0.15</v>
      </c>
      <c r="D4" s="3" t="n">
        <v>23.1</v>
      </c>
      <c r="E4" s="3" t="n">
        <v>19.5</v>
      </c>
      <c r="F4" s="3" t="n">
        <v>28</v>
      </c>
      <c r="G4" s="12" t="n">
        <f aca="false">(D4-E4)/D4</f>
        <v>0.155844155844156</v>
      </c>
      <c r="H4" s="12" t="n">
        <f aca="false">(F4-D4)/D4</f>
        <v>0.212121212121212</v>
      </c>
      <c r="I4" s="13" t="n">
        <f aca="false">H4/G4</f>
        <v>1.36111111111111</v>
      </c>
      <c r="J4" s="3" t="s">
        <v>219</v>
      </c>
    </row>
    <row r="5" customFormat="false" ht="15" hidden="false" customHeight="true" outlineLevel="0" collapsed="false">
      <c r="A5" s="5" t="s">
        <v>220</v>
      </c>
      <c r="B5" s="5" t="s">
        <v>36</v>
      </c>
      <c r="C5" s="14" t="n">
        <v>0.15</v>
      </c>
      <c r="D5" s="5" t="n">
        <v>78</v>
      </c>
      <c r="E5" s="5" t="n">
        <v>68</v>
      </c>
      <c r="F5" s="5" t="n">
        <v>90</v>
      </c>
      <c r="G5" s="15" t="n">
        <f aca="false">(D5-E5)/D5</f>
        <v>0.128205128205128</v>
      </c>
      <c r="H5" s="15" t="n">
        <f aca="false">(F5-D5)/D5</f>
        <v>0.153846153846154</v>
      </c>
      <c r="I5" s="16" t="n">
        <f aca="false">H5/G5</f>
        <v>1.2</v>
      </c>
      <c r="J5" s="5" t="s">
        <v>221</v>
      </c>
    </row>
    <row r="6" customFormat="false" ht="15" hidden="false" customHeight="true" outlineLevel="0" collapsed="false">
      <c r="A6" s="3" t="s">
        <v>222</v>
      </c>
      <c r="B6" s="3" t="s">
        <v>49</v>
      </c>
      <c r="C6" s="11" t="n">
        <v>0.07</v>
      </c>
      <c r="D6" s="3" t="n">
        <v>30</v>
      </c>
      <c r="E6" s="3" t="n">
        <v>22</v>
      </c>
      <c r="F6" s="3" t="n">
        <v>45</v>
      </c>
      <c r="G6" s="12" t="n">
        <f aca="false">(D6-E6)/D6</f>
        <v>0.266666666666667</v>
      </c>
      <c r="H6" s="12" t="n">
        <f aca="false">(F6-D6)/D6</f>
        <v>0.5</v>
      </c>
      <c r="I6" s="13" t="n">
        <f aca="false">H6/G6</f>
        <v>1.875</v>
      </c>
      <c r="J6" s="3" t="s">
        <v>223</v>
      </c>
    </row>
    <row r="7" customFormat="false" ht="15" hidden="false" customHeight="true" outlineLevel="0" collapsed="false">
      <c r="A7" s="17" t="s">
        <v>224</v>
      </c>
      <c r="C7" s="18" t="n">
        <f aca="false">SUM(C2:C6)</f>
        <v>1</v>
      </c>
    </row>
    <row r="9" customFormat="false" ht="15" hidden="false" customHeight="true" outlineLevel="0" collapsed="false">
      <c r="A9" s="19" t="s">
        <v>225</v>
      </c>
    </row>
    <row r="10" customFormat="false" ht="15" hidden="false" customHeight="true" outlineLevel="0" collapsed="false">
      <c r="A10" s="1" t="s">
        <v>226</v>
      </c>
      <c r="B10" s="20" t="n">
        <f aca="false">SUMPRODUCT(C2:C6,G2:G6)</f>
        <v>0.149008365894898</v>
      </c>
    </row>
    <row r="11" customFormat="false" ht="15" hidden="false" customHeight="true" outlineLevel="0" collapsed="false">
      <c r="A11" s="1" t="s">
        <v>227</v>
      </c>
      <c r="B11" s="20" t="n">
        <f aca="false">SUMPRODUCT(C2:C6,H2:H6)</f>
        <v>0.223939943436232</v>
      </c>
    </row>
    <row r="12" customFormat="false" ht="15" hidden="false" customHeight="true" outlineLevel="0" collapsed="false">
      <c r="A12" s="1" t="s">
        <v>228</v>
      </c>
      <c r="B12" s="21" t="n">
        <f aca="false">B11/B10</f>
        <v>1.5028682590492</v>
      </c>
    </row>
    <row r="14" customFormat="false" ht="15" hidden="false" customHeight="false" outlineLevel="0" collapsed="false">
      <c r="A14" s="10" t="s">
        <v>229</v>
      </c>
    </row>
    <row r="15" customFormat="false" ht="26.85" hidden="false" customHeight="false" outlineLevel="0" collapsed="false">
      <c r="A15" s="9" t="s">
        <v>207</v>
      </c>
      <c r="B15" s="9" t="s">
        <v>1</v>
      </c>
      <c r="C15" s="9" t="s">
        <v>208</v>
      </c>
      <c r="D15" s="9" t="s">
        <v>124</v>
      </c>
      <c r="E15" s="9" t="s">
        <v>84</v>
      </c>
      <c r="F15" s="9" t="s">
        <v>209</v>
      </c>
      <c r="G15" s="9" t="s">
        <v>210</v>
      </c>
      <c r="H15" s="9" t="s">
        <v>211</v>
      </c>
      <c r="I15" s="9" t="s">
        <v>212</v>
      </c>
      <c r="J15" s="9" t="s">
        <v>213</v>
      </c>
    </row>
    <row r="16" customFormat="false" ht="23.85" hidden="false" customHeight="false" outlineLevel="0" collapsed="false">
      <c r="A16" s="5" t="s">
        <v>230</v>
      </c>
      <c r="B16" s="5" t="s">
        <v>195</v>
      </c>
      <c r="C16" s="14" t="n">
        <v>0.12</v>
      </c>
      <c r="D16" s="5" t="n">
        <v>139.11</v>
      </c>
      <c r="E16" s="5" t="n">
        <v>118</v>
      </c>
      <c r="F16" s="5" t="n">
        <v>170</v>
      </c>
      <c r="G16" s="15" t="n">
        <f aca="false">(D16-E16)/D16</f>
        <v>0.15175041334196</v>
      </c>
      <c r="H16" s="15" t="n">
        <f aca="false">(F16-D16)/D16</f>
        <v>0.222054489253109</v>
      </c>
      <c r="I16" s="22" t="n">
        <f aca="false">H16/G16</f>
        <v>1.46328754144955</v>
      </c>
      <c r="J16" s="5" t="s">
        <v>231</v>
      </c>
    </row>
    <row r="17" customFormat="false" ht="15" hidden="false" customHeight="false" outlineLevel="0" collapsed="false">
      <c r="A17" s="5" t="s">
        <v>232</v>
      </c>
      <c r="B17" s="5" t="s">
        <v>191</v>
      </c>
      <c r="C17" s="14" t="n">
        <v>0.05</v>
      </c>
      <c r="D17" s="5" t="n">
        <v>12</v>
      </c>
      <c r="E17" s="5" t="n">
        <v>9.5</v>
      </c>
      <c r="F17" s="5" t="n">
        <v>17</v>
      </c>
      <c r="G17" s="15" t="n">
        <f aca="false">(D17-E17)/D17</f>
        <v>0.208333333333333</v>
      </c>
      <c r="H17" s="15" t="n">
        <f aca="false">(F17-D17)/D17</f>
        <v>0.416666666666667</v>
      </c>
      <c r="I17" s="22" t="n">
        <f aca="false">H17/G17</f>
        <v>2</v>
      </c>
      <c r="J17" s="5" t="s">
        <v>233</v>
      </c>
    </row>
    <row r="18" customFormat="false" ht="15" hidden="false" customHeight="false" outlineLevel="0" collapsed="false">
      <c r="A18" s="5" t="s">
        <v>234</v>
      </c>
      <c r="B18" s="5" t="s">
        <v>199</v>
      </c>
      <c r="C18" s="14" t="n">
        <v>0.05</v>
      </c>
      <c r="D18" s="5"/>
      <c r="E18" s="5"/>
      <c r="F18" s="5"/>
      <c r="G18" s="5"/>
      <c r="H18" s="5"/>
      <c r="I18" s="5"/>
      <c r="J18" s="5" t="s">
        <v>235</v>
      </c>
    </row>
    <row r="19" customFormat="false" ht="15" hidden="false" customHeight="false" outlineLevel="0" collapsed="false">
      <c r="A19" s="5" t="s">
        <v>234</v>
      </c>
      <c r="B19" s="5" t="s">
        <v>186</v>
      </c>
      <c r="C19" s="14" t="n">
        <v>0.03</v>
      </c>
      <c r="D19" s="5"/>
      <c r="E19" s="5"/>
      <c r="F19" s="5"/>
      <c r="G19" s="5"/>
      <c r="H19" s="5"/>
      <c r="I19" s="5"/>
      <c r="J19" s="5" t="s">
        <v>236</v>
      </c>
    </row>
    <row r="20" customFormat="false" ht="15" hidden="false" customHeight="false" outlineLevel="0" collapsed="false">
      <c r="A20" s="23" t="s">
        <v>237</v>
      </c>
      <c r="C20" s="24" t="n">
        <f aca="false">SUM(C16:C19)</f>
        <v>0.25</v>
      </c>
    </row>
    <row r="22" customFormat="false" ht="15" hidden="false" customHeight="false" outlineLevel="0" collapsed="false">
      <c r="A22" s="25" t="s">
        <v>238</v>
      </c>
    </row>
    <row r="23" customFormat="false" ht="15" hidden="false" customHeight="false" outlineLevel="0" collapsed="false">
      <c r="A23" s="1" t="s">
        <v>239</v>
      </c>
      <c r="B23" s="1" t="s">
        <v>240</v>
      </c>
    </row>
    <row r="24" customFormat="false" ht="15" hidden="false" customHeight="false" outlineLevel="0" collapsed="false">
      <c r="A24" s="1" t="s">
        <v>241</v>
      </c>
      <c r="B24" s="1" t="s">
        <v>242</v>
      </c>
    </row>
    <row r="25" customFormat="false" ht="15" hidden="false" customHeight="false" outlineLevel="0" collapsed="false">
      <c r="A25" s="23" t="s">
        <v>243</v>
      </c>
      <c r="B25" s="2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D5B"/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50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15" min="15" style="0" width="45"/>
  </cols>
  <sheetData>
    <row r="1" customFormat="false" ht="52.2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245</v>
      </c>
      <c r="E1" s="9" t="s">
        <v>246</v>
      </c>
      <c r="F1" s="9" t="s">
        <v>247</v>
      </c>
      <c r="G1" s="9" t="s">
        <v>248</v>
      </c>
      <c r="H1" s="9" t="s">
        <v>249</v>
      </c>
      <c r="I1" s="9" t="s">
        <v>250</v>
      </c>
      <c r="J1" s="9" t="s">
        <v>251</v>
      </c>
      <c r="K1" s="9" t="s">
        <v>252</v>
      </c>
      <c r="L1" s="9" t="s">
        <v>253</v>
      </c>
      <c r="M1" s="9" t="s">
        <v>254</v>
      </c>
      <c r="N1" s="9" t="s">
        <v>12</v>
      </c>
      <c r="O1" s="9" t="s">
        <v>14</v>
      </c>
    </row>
    <row r="2" customFormat="false" ht="35.05" hidden="false" customHeight="false" outlineLevel="0" collapsed="false">
      <c r="A2" s="3" t="n">
        <v>1</v>
      </c>
      <c r="B2" s="3" t="s">
        <v>195</v>
      </c>
      <c r="C2" s="3" t="s">
        <v>255</v>
      </c>
      <c r="D2" s="3" t="n">
        <v>139.11</v>
      </c>
      <c r="E2" s="3" t="n">
        <v>20400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n">
        <v>5</v>
      </c>
      <c r="L2" s="3" t="n">
        <v>4</v>
      </c>
      <c r="M2" s="3" t="n">
        <v>5</v>
      </c>
      <c r="N2" s="3" t="n">
        <f aca="false">SUM(K2:M2)</f>
        <v>14</v>
      </c>
      <c r="O2" s="3" t="s">
        <v>261</v>
      </c>
    </row>
    <row r="3" customFormat="false" ht="35.05" hidden="false" customHeight="false" outlineLevel="0" collapsed="false">
      <c r="A3" s="5" t="n">
        <v>2</v>
      </c>
      <c r="B3" s="5" t="s">
        <v>199</v>
      </c>
      <c r="C3" s="5" t="s">
        <v>262</v>
      </c>
      <c r="D3" s="5"/>
      <c r="E3" s="5" t="n">
        <v>72000</v>
      </c>
      <c r="F3" s="5" t="s">
        <v>263</v>
      </c>
      <c r="G3" s="5" t="s">
        <v>264</v>
      </c>
      <c r="H3" s="5" t="s">
        <v>265</v>
      </c>
      <c r="I3" s="5" t="s">
        <v>266</v>
      </c>
      <c r="J3" s="5" t="s">
        <v>267</v>
      </c>
      <c r="K3" s="5" t="n">
        <v>4</v>
      </c>
      <c r="L3" s="5" t="n">
        <v>4</v>
      </c>
      <c r="M3" s="5" t="n">
        <v>4</v>
      </c>
      <c r="N3" s="5" t="n">
        <f aca="false">SUM(K3:M3)</f>
        <v>12</v>
      </c>
      <c r="O3" s="6" t="s">
        <v>268</v>
      </c>
    </row>
    <row r="4" customFormat="false" ht="35.05" hidden="false" customHeight="false" outlineLevel="0" collapsed="false">
      <c r="A4" s="3" t="n">
        <v>3</v>
      </c>
      <c r="B4" s="3" t="s">
        <v>269</v>
      </c>
      <c r="C4" s="3" t="s">
        <v>270</v>
      </c>
      <c r="D4" s="3"/>
      <c r="E4" s="3" t="n">
        <v>8100</v>
      </c>
      <c r="F4" s="3" t="s">
        <v>271</v>
      </c>
      <c r="G4" s="3" t="s">
        <v>272</v>
      </c>
      <c r="H4" s="3" t="s">
        <v>273</v>
      </c>
      <c r="I4" s="3" t="s">
        <v>274</v>
      </c>
      <c r="J4" s="3" t="s">
        <v>275</v>
      </c>
      <c r="K4" s="3" t="n">
        <v>3</v>
      </c>
      <c r="L4" s="3" t="n">
        <v>3</v>
      </c>
      <c r="M4" s="3" t="n">
        <v>3</v>
      </c>
      <c r="N4" s="3" t="n">
        <f aca="false">SUM(K4:M4)</f>
        <v>9</v>
      </c>
      <c r="O4" s="3" t="s">
        <v>276</v>
      </c>
    </row>
    <row r="5" customFormat="false" ht="23.85" hidden="false" customHeight="false" outlineLevel="0" collapsed="false">
      <c r="A5" s="5" t="n">
        <v>4</v>
      </c>
      <c r="B5" s="5" t="s">
        <v>277</v>
      </c>
      <c r="C5" s="5" t="s">
        <v>278</v>
      </c>
      <c r="D5" s="5" t="n">
        <v>108.5</v>
      </c>
      <c r="E5" s="5" t="n">
        <v>5600</v>
      </c>
      <c r="F5" s="5" t="s">
        <v>279</v>
      </c>
      <c r="G5" s="5" t="s">
        <v>280</v>
      </c>
      <c r="H5" s="5" t="s">
        <v>281</v>
      </c>
      <c r="I5" s="5" t="s">
        <v>282</v>
      </c>
      <c r="J5" s="5" t="s">
        <v>283</v>
      </c>
      <c r="K5" s="5" t="n">
        <v>3</v>
      </c>
      <c r="L5" s="5" t="n">
        <v>3</v>
      </c>
      <c r="M5" s="5" t="n">
        <v>3</v>
      </c>
      <c r="N5" s="5" t="n">
        <f aca="false">SUM(K5:M5)</f>
        <v>9</v>
      </c>
      <c r="O5" s="5" t="s">
        <v>284</v>
      </c>
    </row>
    <row r="6" customFormat="false" ht="35.05" hidden="false" customHeight="false" outlineLevel="0" collapsed="false">
      <c r="A6" s="3" t="n">
        <v>5</v>
      </c>
      <c r="B6" s="3" t="s">
        <v>191</v>
      </c>
      <c r="C6" s="3" t="s">
        <v>285</v>
      </c>
      <c r="D6" s="3"/>
      <c r="E6" s="3" t="n">
        <v>3870</v>
      </c>
      <c r="F6" s="3" t="s">
        <v>286</v>
      </c>
      <c r="G6" s="3" t="s">
        <v>287</v>
      </c>
      <c r="H6" s="3" t="s">
        <v>288</v>
      </c>
      <c r="I6" s="3" t="s">
        <v>289</v>
      </c>
      <c r="J6" s="3" t="s">
        <v>290</v>
      </c>
      <c r="K6" s="3" t="n">
        <v>5</v>
      </c>
      <c r="L6" s="3" t="n">
        <v>3</v>
      </c>
      <c r="M6" s="3" t="n">
        <v>4</v>
      </c>
      <c r="N6" s="3" t="n">
        <f aca="false">SUM(K6:M6)</f>
        <v>12</v>
      </c>
      <c r="O6" s="3" t="s">
        <v>291</v>
      </c>
    </row>
    <row r="7" customFormat="false" ht="23.85" hidden="false" customHeight="false" outlineLevel="0" collapsed="false">
      <c r="A7" s="5" t="n">
        <v>6</v>
      </c>
      <c r="B7" s="5" t="s">
        <v>186</v>
      </c>
      <c r="C7" s="5" t="s">
        <v>292</v>
      </c>
      <c r="D7" s="5"/>
      <c r="E7" s="5" t="n">
        <v>7400</v>
      </c>
      <c r="F7" s="5" t="s">
        <v>293</v>
      </c>
      <c r="G7" s="5" t="s">
        <v>294</v>
      </c>
      <c r="H7" s="5" t="s">
        <v>281</v>
      </c>
      <c r="I7" s="5" t="s">
        <v>295</v>
      </c>
      <c r="J7" s="5" t="s">
        <v>296</v>
      </c>
      <c r="K7" s="5" t="n">
        <v>4</v>
      </c>
      <c r="L7" s="5" t="n">
        <v>3</v>
      </c>
      <c r="M7" s="5" t="n">
        <v>3</v>
      </c>
      <c r="N7" s="5" t="n">
        <f aca="false">SUM(K7:M7)</f>
        <v>10</v>
      </c>
      <c r="O7" s="6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26" t="s">
        <v>298</v>
      </c>
      <c r="B1" s="26"/>
      <c r="C1" s="26"/>
      <c r="D1" s="26"/>
      <c r="E1" s="26"/>
      <c r="F1" s="26"/>
    </row>
    <row r="3" customFormat="false" ht="15" hidden="false" customHeight="false" outlineLevel="0" collapsed="false">
      <c r="A3" s="27" t="s">
        <v>299</v>
      </c>
      <c r="B3" s="27"/>
      <c r="C3" s="27"/>
      <c r="D3" s="27"/>
      <c r="E3" s="27"/>
      <c r="F3" s="27"/>
    </row>
    <row r="5" customFormat="false" ht="15" hidden="false" customHeight="false" outlineLevel="0" collapsed="false">
      <c r="A5" s="2" t="s">
        <v>300</v>
      </c>
      <c r="B5" s="2" t="s">
        <v>301</v>
      </c>
      <c r="C5" s="2" t="s">
        <v>302</v>
      </c>
      <c r="D5" s="2" t="s">
        <v>303</v>
      </c>
    </row>
    <row r="6" customFormat="false" ht="15" hidden="false" customHeight="false" outlineLevel="0" collapsed="false">
      <c r="A6" s="3" t="s">
        <v>246</v>
      </c>
      <c r="B6" s="3" t="s">
        <v>304</v>
      </c>
      <c r="C6" s="3" t="s">
        <v>305</v>
      </c>
      <c r="D6" s="3" t="s">
        <v>306</v>
      </c>
    </row>
    <row r="7" customFormat="false" ht="15" hidden="false" customHeight="false" outlineLevel="0" collapsed="false">
      <c r="A7" s="5" t="s">
        <v>307</v>
      </c>
      <c r="B7" s="5" t="s">
        <v>308</v>
      </c>
      <c r="C7" s="5" t="s">
        <v>309</v>
      </c>
      <c r="D7" s="5" t="s">
        <v>310</v>
      </c>
    </row>
    <row r="8" customFormat="false" ht="15" hidden="false" customHeight="false" outlineLevel="0" collapsed="false">
      <c r="A8" s="3" t="s">
        <v>311</v>
      </c>
      <c r="B8" s="3" t="s">
        <v>272</v>
      </c>
      <c r="C8" s="3" t="s">
        <v>312</v>
      </c>
      <c r="D8" s="3" t="s">
        <v>313</v>
      </c>
    </row>
    <row r="9" customFormat="false" ht="23.85" hidden="false" customHeight="false" outlineLevel="0" collapsed="false">
      <c r="A9" s="5" t="s">
        <v>314</v>
      </c>
      <c r="B9" s="5" t="s">
        <v>257</v>
      </c>
      <c r="C9" s="5" t="s">
        <v>315</v>
      </c>
      <c r="D9" s="5" t="s">
        <v>316</v>
      </c>
    </row>
    <row r="10" customFormat="false" ht="15" hidden="false" customHeight="false" outlineLevel="0" collapsed="false">
      <c r="A10" s="3" t="s">
        <v>317</v>
      </c>
      <c r="B10" s="3" t="s">
        <v>318</v>
      </c>
      <c r="C10" s="3" t="s">
        <v>319</v>
      </c>
      <c r="D10" s="3" t="s">
        <v>320</v>
      </c>
    </row>
    <row r="11" customFormat="false" ht="23.85" hidden="false" customHeight="false" outlineLevel="0" collapsed="false">
      <c r="A11" s="5" t="s">
        <v>321</v>
      </c>
      <c r="B11" s="5" t="s">
        <v>322</v>
      </c>
      <c r="C11" s="5" t="s">
        <v>323</v>
      </c>
      <c r="D11" s="5" t="s">
        <v>324</v>
      </c>
    </row>
    <row r="12" customFormat="false" ht="15" hidden="false" customHeight="false" outlineLevel="0" collapsed="false">
      <c r="A12" s="3" t="s">
        <v>325</v>
      </c>
      <c r="B12" s="3" t="s">
        <v>326</v>
      </c>
      <c r="C12" s="3" t="s">
        <v>327</v>
      </c>
      <c r="D12" s="3" t="s">
        <v>328</v>
      </c>
    </row>
    <row r="14" customFormat="false" ht="15" hidden="false" customHeight="false" outlineLevel="0" collapsed="false">
      <c r="A14" s="28" t="s">
        <v>329</v>
      </c>
    </row>
    <row r="16" customFormat="false" ht="15" hidden="false" customHeight="false" outlineLevel="0" collapsed="false">
      <c r="A16" s="23" t="s">
        <v>330</v>
      </c>
      <c r="B16" s="29" t="s">
        <v>331</v>
      </c>
    </row>
    <row r="17" customFormat="false" ht="23.85" hidden="false" customHeight="false" outlineLevel="0" collapsed="false">
      <c r="A17" s="23" t="s">
        <v>332</v>
      </c>
      <c r="B17" s="29" t="s">
        <v>333</v>
      </c>
    </row>
    <row r="18" customFormat="false" ht="23.85" hidden="false" customHeight="false" outlineLevel="0" collapsed="false">
      <c r="A18" s="23" t="s">
        <v>334</v>
      </c>
      <c r="B18" s="29" t="s">
        <v>335</v>
      </c>
    </row>
    <row r="19" customFormat="false" ht="15" hidden="false" customHeight="false" outlineLevel="0" collapsed="false">
      <c r="A19" s="23" t="s">
        <v>336</v>
      </c>
      <c r="B19" s="29" t="s">
        <v>337</v>
      </c>
    </row>
    <row r="20" customFormat="false" ht="15" hidden="false" customHeight="false" outlineLevel="0" collapsed="false">
      <c r="A20" s="23" t="s">
        <v>338</v>
      </c>
      <c r="B20" s="29" t="s">
        <v>339</v>
      </c>
    </row>
    <row r="21" customFormat="false" ht="23.85" hidden="false" customHeight="false" outlineLevel="0" collapsed="false">
      <c r="A21" s="23" t="s">
        <v>340</v>
      </c>
      <c r="B21" s="29" t="s">
        <v>341</v>
      </c>
    </row>
    <row r="22" customFormat="false" ht="15" hidden="false" customHeight="false" outlineLevel="0" collapsed="false">
      <c r="A22" s="23" t="s">
        <v>342</v>
      </c>
      <c r="B22" s="29" t="s">
        <v>343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2026-03-01T17:02:55Z</dcterms:created>
  <dc:creator>openpyxl</dc:creator>
  <dc:description/>
  <dc:language>en-US</dc:language>
  <cp:lastModifiedBy/>
  <dcterms:modified xsi:type="dcterms:W3CDTF">2026-03-01T17:35:17Z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